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sk List" sheetId="1" state="visible" r:id="rId3"/>
    <sheet name="Sheet1" sheetId="2" state="visible" r:id="rId4"/>
    <sheet name="Gantt Chart" sheetId="3" state="visible" r:id="rId5"/>
  </sheets>
  <definedNames>
    <definedName function="false" hidden="true" localSheetId="0" name="_xlnm._FilterDatabase" vbProcedure="false">'Task List'!$A$1:$H$31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<sst xmlns="http://schemas.openxmlformats.org/spreadsheetml/2006/main" count="148" uniqueCount="65">
  <si>
    <t xml:space="preserve">ID</t>
  </si>
  <si>
    <t xml:space="preserve">Phase</t>
  </si>
  <si>
    <t xml:space="preserve">Task</t>
  </si>
  <si>
    <t xml:space="preserve">Start Date</t>
  </si>
  <si>
    <t xml:space="preserve">End Date</t>
  </si>
  <si>
    <t xml:space="preserve">Duration (days)</t>
  </si>
  <si>
    <t xml:space="preserve">Notes / Dependencies</t>
  </si>
  <si>
    <t xml:space="preserve">Offset (days)</t>
  </si>
  <si>
    <t xml:space="preserve">Project start</t>
  </si>
  <si>
    <t xml:space="preserve">P0: Kickoff</t>
  </si>
  <si>
    <t xml:space="preserve">Build &amp; submit Gantt chart</t>
  </si>
  <si>
    <t xml:space="preserve">Due to professor next week</t>
  </si>
  <si>
    <t xml:space="preserve">Project end</t>
  </si>
  <si>
    <t xml:space="preserve">Start SRS draft (intro, scope, purpose)</t>
  </si>
  <si>
    <t xml:space="preserve">Total days</t>
  </si>
  <si>
    <t xml:space="preserve">Finish Computer Vision &amp; Speech-to-Text course</t>
  </si>
  <si>
    <t xml:space="preserve">Coursera</t>
  </si>
  <si>
    <t xml:space="preserve">Total tasks</t>
  </si>
  <si>
    <t xml:space="preserve">Finish Agentic AI / LLM / RAG self-study</t>
  </si>
  <si>
    <t xml:space="preserve">Requirement gathering &amp; competitor research</t>
  </si>
  <si>
    <t xml:space="preserve">AI Demos</t>
  </si>
  <si>
    <t xml:space="preserve">Login-Signup-OTP-Home Pages UI (simple)(Figma)</t>
  </si>
  <si>
    <t xml:space="preserve">Documentation</t>
  </si>
  <si>
    <t xml:space="preserve">Diagrams Research</t>
  </si>
  <si>
    <t xml:space="preserve">Brand identity</t>
  </si>
  <si>
    <t xml:space="preserve">P1: Research &amp; Requirements</t>
  </si>
  <si>
    <t xml:space="preserve">SRS - Functional requirements</t>
  </si>
  <si>
    <t xml:space="preserve">Recovered from Sheet1</t>
  </si>
  <si>
    <t xml:space="preserve">SRS - Non-functional requirements</t>
  </si>
  <si>
    <t xml:space="preserve">Define user personas</t>
  </si>
  <si>
    <t xml:space="preserve">P2: Design &amp; Architecture</t>
  </si>
  <si>
    <t xml:space="preserve">High-fidelity UI/UX design (Figma)</t>
  </si>
  <si>
    <t xml:space="preserve">Use cases &amp; user scenarios document</t>
  </si>
  <si>
    <t xml:space="preserve">Exception handling documentation</t>
  </si>
  <si>
    <t xml:space="preserve">System architecture design</t>
  </si>
  <si>
    <t xml:space="preserve">Frontend/backend/AI agents/DB</t>
  </si>
  <si>
    <t xml:space="preserve">Tech stack finalization</t>
  </si>
  <si>
    <t xml:space="preserve">P3: Core Build Sprint 1</t>
  </si>
  <si>
    <t xml:space="preserve">Frontend scaffolding (pages, nav, auth)</t>
  </si>
  <si>
    <t xml:space="preserve">Angular/React</t>
  </si>
  <si>
    <t xml:space="preserve">Backend setup + database schema</t>
  </si>
  <si>
    <t xml:space="preserve">Receipt upload feature + basic OCR</t>
  </si>
  <si>
    <t xml:space="preserve">Bank/transaction integration (research + v1)</t>
  </si>
  <si>
    <t xml:space="preserve">P4: AI Agent Integration Sprint 2</t>
  </si>
  <si>
    <t xml:space="preserve">Agentic AI decision-support assistant</t>
  </si>
  <si>
    <t xml:space="preserve">RAG for financial insights</t>
  </si>
  <si>
    <t xml:space="preserve">Speech-to-text feature integration</t>
  </si>
  <si>
    <t xml:space="preserve">Computer vision refinement for receipts</t>
  </si>
  <si>
    <t xml:space="preserve">Multimodal agent orchestration (demo-ready)</t>
  </si>
  <si>
    <t xml:space="preserve">Agents callable inside demo</t>
  </si>
  <si>
    <t xml:space="preserve">P5: Testing &amp; Polish</t>
  </si>
  <si>
    <t xml:space="preserve">Integration testing</t>
  </si>
  <si>
    <t xml:space="preserve">Exception handling implementation</t>
  </si>
  <si>
    <t xml:space="preserve">Bug fixes &amp; UI polish</t>
  </si>
  <si>
    <t xml:space="preserve">P6: Thesis, Presentation &amp; Demo</t>
  </si>
  <si>
    <t xml:space="preserve">Finalize thesis document</t>
  </si>
  <si>
    <t xml:space="preserve">Build presentation slides</t>
  </si>
  <si>
    <t xml:space="preserve">Rehearse demo</t>
  </si>
  <si>
    <t xml:space="preserve">Final submission</t>
  </si>
  <si>
    <t xml:space="preserve">HOW TO USE</t>
  </si>
  <si>
    <t xml:space="preserve">Edit only the shaded Start Date and End Date cells. Duration and Offset recalculate.</t>
  </si>
  <si>
    <t xml:space="preserve">Offset is a helper column. It is the days each task waits after the project start, and it drives the invisible spacer bar in the chart.</t>
  </si>
  <si>
    <t xml:space="preserve">If you change the earliest start date, reset the chart axis maximum on the Gantt Chart tab to match Total days in K3.</t>
  </si>
  <si>
    <t xml:space="preserve">Tasks marked Recovered from Sheet1 were missing from this tab. Sheet1 has been left untouched as your earlier draft.</t>
  </si>
  <si>
    <t xml:space="preserve">Phase Legend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</si>
</sst>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0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4E78"/>
        <bgColor rgb="FF1F3864"/>
      </patternFill>
    </fill>
    <fill>
      <patternFill patternType="solid">
        <fgColor rgb="FFFFC000"/>
        <bgColor rgb="FFFF9900"/>
      </patternFill>
    </fill>
    <fill>
      <patternFill patternType="solid">
        <fgColor rgb="FF4472C4"/>
        <bgColor rgb="FF5B9BD5"/>
      </patternFill>
    </fill>
    <fill>
      <patternFill patternType="solid">
        <fgColor rgb="FF70AD47"/>
        <bgColor rgb="FF99CC00"/>
      </patternFill>
    </fill>
    <fill>
      <patternFill patternType="solid">
        <fgColor rgb="FF5B9BD5"/>
        <bgColor rgb="FF4472C4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7030A0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B3B3B3"/>
      <rgbColor rgb="FF1F3864"/>
      <rgbColor rgb="FF70AD47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Graduation Project Timeline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'Task List'!H1</c:f>
              <c:strCache>
                <c:ptCount val="1"/>
                <c:pt idx="0">
                  <c:v>Offset (days)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List'!$C$2:$C$35</c:f>
              <c:strCache>
                <c:ptCount val="34"/>
                <c:pt idx="0">
                  <c:v>Build &amp; submit Gantt chart</c:v>
                </c:pt>
                <c:pt idx="1">
                  <c:v>Start SRS draft (intro, scope, purpose)</c:v>
                </c:pt>
                <c:pt idx="2">
                  <c:v>Finish Computer Vision &amp; Speech-to-Text course</c:v>
                </c:pt>
                <c:pt idx="3">
                  <c:v>Finish Agentic AI / LLM / RAG self-study</c:v>
                </c:pt>
                <c:pt idx="4">
                  <c:v>Requirement gathering &amp; competitor research</c:v>
                </c:pt>
                <c:pt idx="5">
                  <c:v>AI Demos</c:v>
                </c:pt>
                <c:pt idx="6">
                  <c:v>Login-Signup-OTP-Home Pages UI (simple)(Figma)</c:v>
                </c:pt>
                <c:pt idx="7">
                  <c:v>Documentation</c:v>
                </c:pt>
                <c:pt idx="8">
                  <c:v>Diagrams Research</c:v>
                </c:pt>
                <c:pt idx="9">
                  <c:v>Brand identity</c:v>
                </c:pt>
                <c:pt idx="10">
                  <c:v>SRS - Functional requirements</c:v>
                </c:pt>
                <c:pt idx="11">
                  <c:v>SRS - Non-functional requirements</c:v>
                </c:pt>
                <c:pt idx="12">
                  <c:v>Define user personas</c:v>
                </c:pt>
                <c:pt idx="13">
                  <c:v>High-fidelity UI/UX design (Figma)</c:v>
                </c:pt>
                <c:pt idx="14">
                  <c:v>Use cases &amp; user scenarios document</c:v>
                </c:pt>
                <c:pt idx="15">
                  <c:v>Exception handling documentation</c:v>
                </c:pt>
                <c:pt idx="16">
                  <c:v>System architecture design</c:v>
                </c:pt>
                <c:pt idx="17">
                  <c:v>Tech stack finalization</c:v>
                </c:pt>
                <c:pt idx="18">
                  <c:v>Frontend scaffolding (pages, nav, auth)</c:v>
                </c:pt>
                <c:pt idx="19">
                  <c:v>Backend setup + database schema</c:v>
                </c:pt>
                <c:pt idx="20">
                  <c:v>Receipt upload feature + basic OCR</c:v>
                </c:pt>
                <c:pt idx="21">
                  <c:v>Bank/transaction integration (research + v1)</c:v>
                </c:pt>
                <c:pt idx="22">
                  <c:v>Agentic AI decision-support assistant</c:v>
                </c:pt>
                <c:pt idx="23">
                  <c:v>RAG for financial insights</c:v>
                </c:pt>
                <c:pt idx="24">
                  <c:v>Speech-to-text feature integration</c:v>
                </c:pt>
                <c:pt idx="25">
                  <c:v>Computer vision refinement for receipts</c:v>
                </c:pt>
                <c:pt idx="26">
                  <c:v>Multimodal agent orchestration (demo-ready)</c:v>
                </c:pt>
                <c:pt idx="27">
                  <c:v>Integration testing</c:v>
                </c:pt>
                <c:pt idx="28">
                  <c:v>Exception handling implementation</c:v>
                </c:pt>
                <c:pt idx="29">
                  <c:v>Bug fixes &amp; UI polish</c:v>
                </c:pt>
                <c:pt idx="30">
                  <c:v>Finalize thesis document</c:v>
                </c:pt>
                <c:pt idx="31">
                  <c:v>Build presentation slides</c:v>
                </c:pt>
                <c:pt idx="32">
                  <c:v>Rehearse demo</c:v>
                </c:pt>
                <c:pt idx="33">
                  <c:v>Final submission</c:v>
                </c:pt>
              </c:strCache>
            </c:strRef>
          </c:cat>
          <c:val>
            <c:numRef>
              <c:f>'Task List'!$H$2:$H$35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12</c:v>
                </c:pt>
                <c:pt idx="12">
                  <c:v>12</c:v>
                </c:pt>
                <c:pt idx="13">
                  <c:v>21</c:v>
                </c:pt>
                <c:pt idx="14">
                  <c:v>21</c:v>
                </c:pt>
                <c:pt idx="15">
                  <c:v>26</c:v>
                </c:pt>
                <c:pt idx="16">
                  <c:v>21</c:v>
                </c:pt>
                <c:pt idx="17">
                  <c:v>21</c:v>
                </c:pt>
                <c:pt idx="18">
                  <c:v>42</c:v>
                </c:pt>
                <c:pt idx="19">
                  <c:v>42</c:v>
                </c:pt>
                <c:pt idx="20">
                  <c:v>49</c:v>
                </c:pt>
                <c:pt idx="21">
                  <c:v>49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83</c:v>
                </c:pt>
                <c:pt idx="27">
                  <c:v>98</c:v>
                </c:pt>
                <c:pt idx="28">
                  <c:v>98</c:v>
                </c:pt>
                <c:pt idx="29">
                  <c:v>103</c:v>
                </c:pt>
                <c:pt idx="30">
                  <c:v>112</c:v>
                </c:pt>
                <c:pt idx="31">
                  <c:v>112</c:v>
                </c:pt>
                <c:pt idx="32">
                  <c:v>119</c:v>
                </c:pt>
                <c:pt idx="33">
                  <c:v>126</c:v>
                </c:pt>
              </c:numCache>
            </c:numRef>
          </c:val>
        </c:ser>
        <c:ser>
          <c:idx val="1"/>
          <c:order val="1"/>
          <c:tx>
            <c:strRef>
              <c:f>'Task List'!F1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40404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1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2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3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4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5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6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7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8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9"/>
            <c:invertIfNegative val="0"/>
            <c:spPr>
              <a:solidFill>
                <a:srgbClr val="5b9bd5"/>
              </a:solidFill>
              <a:ln w="0">
                <a:solidFill>
                  <a:srgbClr val="404040"/>
                </a:solidFill>
              </a:ln>
            </c:spPr>
          </c:dPt>
          <c:dPt>
            <c:idx val="10"/>
            <c:invertIfNegative val="0"/>
            <c:spPr>
              <a:solidFill>
                <a:srgbClr val="70ad47"/>
              </a:solidFill>
              <a:ln w="0">
                <a:solidFill>
                  <a:srgbClr val="404040"/>
                </a:solidFill>
              </a:ln>
            </c:spPr>
          </c:dPt>
          <c:dPt>
            <c:idx val="11"/>
            <c:invertIfNegative val="0"/>
            <c:spPr>
              <a:solidFill>
                <a:srgbClr val="70ad47"/>
              </a:solidFill>
              <a:ln w="0">
                <a:solidFill>
                  <a:srgbClr val="404040"/>
                </a:solidFill>
              </a:ln>
            </c:spPr>
          </c:dPt>
          <c:dPt>
            <c:idx val="12"/>
            <c:invertIfNegative val="0"/>
            <c:spPr>
              <a:solidFill>
                <a:srgbClr val="70ad47"/>
              </a:solidFill>
              <a:ln w="0">
                <a:solidFill>
                  <a:srgbClr val="404040"/>
                </a:solidFill>
              </a:ln>
            </c:spPr>
          </c:dPt>
          <c:dPt>
            <c:idx val="13"/>
            <c:invertIfNegative val="0"/>
            <c:spPr>
              <a:solidFill>
                <a:srgbClr val="ffc000"/>
              </a:solidFill>
              <a:ln w="0">
                <a:solidFill>
                  <a:srgbClr val="404040"/>
                </a:solidFill>
              </a:ln>
            </c:spPr>
          </c:dPt>
          <c:dPt>
            <c:idx val="14"/>
            <c:invertIfNegative val="0"/>
            <c:spPr>
              <a:solidFill>
                <a:srgbClr val="ffc000"/>
              </a:solidFill>
              <a:ln w="0">
                <a:solidFill>
                  <a:srgbClr val="404040"/>
                </a:solidFill>
              </a:ln>
            </c:spPr>
          </c:dPt>
          <c:dPt>
            <c:idx val="15"/>
            <c:invertIfNegative val="0"/>
            <c:spPr>
              <a:solidFill>
                <a:srgbClr val="ffc000"/>
              </a:solidFill>
              <a:ln w="0">
                <a:solidFill>
                  <a:srgbClr val="404040"/>
                </a:solidFill>
              </a:ln>
            </c:spPr>
          </c:dPt>
          <c:dPt>
            <c:idx val="16"/>
            <c:invertIfNegative val="0"/>
            <c:spPr>
              <a:solidFill>
                <a:srgbClr val="ffc000"/>
              </a:solidFill>
              <a:ln w="0">
                <a:solidFill>
                  <a:srgbClr val="404040"/>
                </a:solidFill>
              </a:ln>
            </c:spPr>
          </c:dPt>
          <c:dPt>
            <c:idx val="17"/>
            <c:invertIfNegative val="0"/>
            <c:spPr>
              <a:solidFill>
                <a:srgbClr val="ffc000"/>
              </a:solidFill>
              <a:ln w="0">
                <a:solidFill>
                  <a:srgbClr val="404040"/>
                </a:solidFill>
              </a:ln>
            </c:spPr>
          </c:dPt>
          <c:dPt>
            <c:idx val="18"/>
            <c:invertIfNegative val="0"/>
            <c:spPr>
              <a:solidFill>
                <a:srgbClr val="ed7d31"/>
              </a:solidFill>
              <a:ln w="0">
                <a:solidFill>
                  <a:srgbClr val="404040"/>
                </a:solidFill>
              </a:ln>
            </c:spPr>
          </c:dPt>
          <c:dPt>
            <c:idx val="19"/>
            <c:invertIfNegative val="0"/>
            <c:spPr>
              <a:solidFill>
                <a:srgbClr val="ed7d31"/>
              </a:solidFill>
              <a:ln w="0">
                <a:solidFill>
                  <a:srgbClr val="404040"/>
                </a:solidFill>
              </a:ln>
            </c:spPr>
          </c:dPt>
          <c:dPt>
            <c:idx val="20"/>
            <c:invertIfNegative val="0"/>
            <c:spPr>
              <a:solidFill>
                <a:srgbClr val="ed7d31"/>
              </a:solidFill>
              <a:ln w="0">
                <a:solidFill>
                  <a:srgbClr val="404040"/>
                </a:solidFill>
              </a:ln>
            </c:spPr>
          </c:dPt>
          <c:dPt>
            <c:idx val="21"/>
            <c:invertIfNegative val="0"/>
            <c:spPr>
              <a:solidFill>
                <a:srgbClr val="ed7d31"/>
              </a:solidFill>
              <a:ln w="0">
                <a:solidFill>
                  <a:srgbClr val="404040"/>
                </a:solidFill>
              </a:ln>
            </c:spPr>
          </c:dPt>
          <c:dPt>
            <c:idx val="22"/>
            <c:invertIfNegative val="0"/>
            <c:spPr>
              <a:solidFill>
                <a:srgbClr val="7030a0"/>
              </a:solidFill>
              <a:ln w="0">
                <a:solidFill>
                  <a:srgbClr val="404040"/>
                </a:solidFill>
              </a:ln>
            </c:spPr>
          </c:dPt>
          <c:dPt>
            <c:idx val="23"/>
            <c:invertIfNegative val="0"/>
            <c:spPr>
              <a:solidFill>
                <a:srgbClr val="7030a0"/>
              </a:solidFill>
              <a:ln w="0">
                <a:solidFill>
                  <a:srgbClr val="404040"/>
                </a:solidFill>
              </a:ln>
            </c:spPr>
          </c:dPt>
          <c:dPt>
            <c:idx val="24"/>
            <c:invertIfNegative val="0"/>
            <c:spPr>
              <a:solidFill>
                <a:srgbClr val="7030a0"/>
              </a:solidFill>
              <a:ln w="0">
                <a:solidFill>
                  <a:srgbClr val="404040"/>
                </a:solidFill>
              </a:ln>
            </c:spPr>
          </c:dPt>
          <c:dPt>
            <c:idx val="25"/>
            <c:invertIfNegative val="0"/>
            <c:spPr>
              <a:solidFill>
                <a:srgbClr val="7030a0"/>
              </a:solidFill>
              <a:ln w="0">
                <a:solidFill>
                  <a:srgbClr val="404040"/>
                </a:solidFill>
              </a:ln>
            </c:spPr>
          </c:dPt>
          <c:dPt>
            <c:idx val="26"/>
            <c:invertIfNegative val="0"/>
            <c:spPr>
              <a:solidFill>
                <a:srgbClr val="7030a0"/>
              </a:solidFill>
              <a:ln w="0">
                <a:solidFill>
                  <a:srgbClr val="404040"/>
                </a:solidFill>
              </a:ln>
            </c:spPr>
          </c:dPt>
          <c:dPt>
            <c:idx val="27"/>
            <c:invertIfNegative val="0"/>
            <c:spPr>
              <a:solidFill>
                <a:srgbClr val="c00000"/>
              </a:solidFill>
              <a:ln w="0">
                <a:solidFill>
                  <a:srgbClr val="404040"/>
                </a:solidFill>
              </a:ln>
            </c:spPr>
          </c:dPt>
          <c:dPt>
            <c:idx val="28"/>
            <c:invertIfNegative val="0"/>
            <c:spPr>
              <a:solidFill>
                <a:srgbClr val="c00000"/>
              </a:solidFill>
              <a:ln w="0">
                <a:solidFill>
                  <a:srgbClr val="404040"/>
                </a:solidFill>
              </a:ln>
            </c:spPr>
          </c:dPt>
          <c:dPt>
            <c:idx val="29"/>
            <c:invertIfNegative val="0"/>
            <c:spPr>
              <a:solidFill>
                <a:srgbClr val="c00000"/>
              </a:solidFill>
              <a:ln w="0">
                <a:solidFill>
                  <a:srgbClr val="404040"/>
                </a:solidFill>
              </a:ln>
            </c:spPr>
          </c:dPt>
          <c:dPt>
            <c:idx val="30"/>
            <c:invertIfNegative val="0"/>
            <c:spPr>
              <a:solidFill>
                <a:srgbClr val="1f3864"/>
              </a:solidFill>
              <a:ln w="0">
                <a:solidFill>
                  <a:srgbClr val="404040"/>
                </a:solidFill>
              </a:ln>
            </c:spPr>
          </c:dPt>
          <c:dPt>
            <c:idx val="31"/>
            <c:invertIfNegative val="0"/>
            <c:spPr>
              <a:solidFill>
                <a:srgbClr val="1f3864"/>
              </a:solidFill>
              <a:ln w="0">
                <a:solidFill>
                  <a:srgbClr val="404040"/>
                </a:solidFill>
              </a:ln>
            </c:spPr>
          </c:dPt>
          <c:dPt>
            <c:idx val="32"/>
            <c:invertIfNegative val="0"/>
            <c:spPr>
              <a:solidFill>
                <a:srgbClr val="1f3864"/>
              </a:solidFill>
              <a:ln w="0">
                <a:solidFill>
                  <a:srgbClr val="404040"/>
                </a:solidFill>
              </a:ln>
            </c:spPr>
          </c:dPt>
          <c:dPt>
            <c:idx val="33"/>
            <c:invertIfNegative val="0"/>
            <c:spPr>
              <a:solidFill>
                <a:srgbClr val="1f3864"/>
              </a:solidFill>
              <a:ln w="0">
                <a:solidFill>
                  <a:srgbClr val="40404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 List'!$C$2:$C$35</c:f>
              <c:strCache>
                <c:ptCount val="34"/>
                <c:pt idx="0">
                  <c:v>Build &amp; submit Gantt chart</c:v>
                </c:pt>
                <c:pt idx="1">
                  <c:v>Start SRS draft (intro, scope, purpose)</c:v>
                </c:pt>
                <c:pt idx="2">
                  <c:v>Finish Computer Vision &amp; Speech-to-Text course</c:v>
                </c:pt>
                <c:pt idx="3">
                  <c:v>Finish Agentic AI / LLM / RAG self-study</c:v>
                </c:pt>
                <c:pt idx="4">
                  <c:v>Requirement gathering &amp; competitor research</c:v>
                </c:pt>
                <c:pt idx="5">
                  <c:v>AI Demos</c:v>
                </c:pt>
                <c:pt idx="6">
                  <c:v>Login-Signup-OTP-Home Pages UI (simple)(Figma)</c:v>
                </c:pt>
                <c:pt idx="7">
                  <c:v>Documentation</c:v>
                </c:pt>
                <c:pt idx="8">
                  <c:v>Diagrams Research</c:v>
                </c:pt>
                <c:pt idx="9">
                  <c:v>Brand identity</c:v>
                </c:pt>
                <c:pt idx="10">
                  <c:v>SRS - Functional requirements</c:v>
                </c:pt>
                <c:pt idx="11">
                  <c:v>SRS - Non-functional requirements</c:v>
                </c:pt>
                <c:pt idx="12">
                  <c:v>Define user personas</c:v>
                </c:pt>
                <c:pt idx="13">
                  <c:v>High-fidelity UI/UX design (Figma)</c:v>
                </c:pt>
                <c:pt idx="14">
                  <c:v>Use cases &amp; user scenarios document</c:v>
                </c:pt>
                <c:pt idx="15">
                  <c:v>Exception handling documentation</c:v>
                </c:pt>
                <c:pt idx="16">
                  <c:v>System architecture design</c:v>
                </c:pt>
                <c:pt idx="17">
                  <c:v>Tech stack finalization</c:v>
                </c:pt>
                <c:pt idx="18">
                  <c:v>Frontend scaffolding (pages, nav, auth)</c:v>
                </c:pt>
                <c:pt idx="19">
                  <c:v>Backend setup + database schema</c:v>
                </c:pt>
                <c:pt idx="20">
                  <c:v>Receipt upload feature + basic OCR</c:v>
                </c:pt>
                <c:pt idx="21">
                  <c:v>Bank/transaction integration (research + v1)</c:v>
                </c:pt>
                <c:pt idx="22">
                  <c:v>Agentic AI decision-support assistant</c:v>
                </c:pt>
                <c:pt idx="23">
                  <c:v>RAG for financial insights</c:v>
                </c:pt>
                <c:pt idx="24">
                  <c:v>Speech-to-text feature integration</c:v>
                </c:pt>
                <c:pt idx="25">
                  <c:v>Computer vision refinement for receipts</c:v>
                </c:pt>
                <c:pt idx="26">
                  <c:v>Multimodal agent orchestration (demo-ready)</c:v>
                </c:pt>
                <c:pt idx="27">
                  <c:v>Integration testing</c:v>
                </c:pt>
                <c:pt idx="28">
                  <c:v>Exception handling implementation</c:v>
                </c:pt>
                <c:pt idx="29">
                  <c:v>Bug fixes &amp; UI polish</c:v>
                </c:pt>
                <c:pt idx="30">
                  <c:v>Finalize thesis document</c:v>
                </c:pt>
                <c:pt idx="31">
                  <c:v>Build presentation slides</c:v>
                </c:pt>
                <c:pt idx="32">
                  <c:v>Rehearse demo</c:v>
                </c:pt>
                <c:pt idx="33">
                  <c:v>Final submission</c:v>
                </c:pt>
              </c:strCache>
            </c:strRef>
          </c:cat>
          <c:val>
            <c:numRef>
              <c:f>'Task List'!$F$2:$F$35</c:f>
              <c:numCache>
                <c:formatCode>0</c:formatCode>
                <c:ptCount val="3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15</c:v>
                </c:pt>
                <c:pt idx="14">
                  <c:v>12</c:v>
                </c:pt>
                <c:pt idx="15">
                  <c:v>10</c:v>
                </c:pt>
                <c:pt idx="16">
                  <c:v>14</c:v>
                </c:pt>
                <c:pt idx="17">
                  <c:v>5</c:v>
                </c:pt>
                <c:pt idx="18">
                  <c:v>14</c:v>
                </c:pt>
                <c:pt idx="19">
                  <c:v>14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7</c:v>
                </c:pt>
                <c:pt idx="28">
                  <c:v>10</c:v>
                </c:pt>
                <c:pt idx="29">
                  <c:v>9</c:v>
                </c:pt>
                <c:pt idx="30">
                  <c:v>11</c:v>
                </c:pt>
                <c:pt idx="31">
                  <c:v>8</c:v>
                </c:pt>
                <c:pt idx="32">
                  <c:v>7</c:v>
                </c:pt>
                <c:pt idx="33">
                  <c:v>1</c:v>
                </c:pt>
              </c:numCache>
            </c:numRef>
          </c:val>
        </c:ser>
        <c:gapWidth val="35"/>
        <c:overlap val="100"/>
        <c:axId val="96084707"/>
        <c:axId val="31576490"/>
      </c:barChart>
      <c:catAx>
        <c:axId val="9608470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76490"/>
        <c:crosses val="autoZero"/>
        <c:auto val="1"/>
        <c:lblAlgn val="ctr"/>
        <c:lblOffset val="100"/>
        <c:noMultiLvlLbl val="0"/>
      </c:catAx>
      <c:valAx>
        <c:axId val="31576490"/>
        <c:scaling>
          <c:orientation val="minMax"/>
          <c:max val="127"/>
          <c:min val="0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from project start (day 0 = 27-Aug-26)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847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16</xdr:col>
      <xdr:colOff>526680</xdr:colOff>
      <xdr:row>47</xdr:row>
      <xdr:rowOff>124200</xdr:rowOff>
    </xdr:to>
    <xdr:graphicFrame>
      <xdr:nvGraphicFramePr>
        <xdr:cNvPr id="0" name="Chart 1"/>
        <xdr:cNvGraphicFramePr/>
      </xdr:nvGraphicFramePr>
      <xdr:xfrm>
        <a:off x="423000" y="0"/>
        <a:ext cx="11519640" cy="86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2" activeCellId="0" sqref="B2"/>
    </sheetView>
  </sheetViews>
  <sheetFormatPr defaultColWidth="8.714843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6" min="4" style="0" width="12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3" t="n">
        <f aca="false">MIN(D2:D35)</f>
        <v>46261</v>
      </c>
    </row>
    <row r="2" customFormat="false" ht="15" hidden="false" customHeight="true" outlineLevel="0" collapsed="false">
      <c r="A2" s="4" t="n">
        <v>1</v>
      </c>
      <c r="B2" s="5" t="s">
        <v>9</v>
      </c>
      <c r="C2" s="5" t="s">
        <v>10</v>
      </c>
      <c r="D2" s="6" t="n">
        <v>46261</v>
      </c>
      <c r="E2" s="6" t="n">
        <v>46267</v>
      </c>
      <c r="F2" s="7" t="n">
        <f aca="false">E2-D2+1</f>
        <v>7</v>
      </c>
      <c r="G2" s="5" t="s">
        <v>11</v>
      </c>
      <c r="H2" s="8" t="n">
        <f aca="false">D2-MIN($D$2:$D$35)</f>
        <v>0</v>
      </c>
      <c r="J2" s="2" t="s">
        <v>12</v>
      </c>
      <c r="K2" s="3" t="n">
        <f aca="false">MAX(E2:E35)</f>
        <v>46387</v>
      </c>
    </row>
    <row r="3" customFormat="false" ht="15" hidden="false" customHeight="true" outlineLevel="0" collapsed="false">
      <c r="A3" s="4" t="n">
        <v>2</v>
      </c>
      <c r="B3" s="5" t="s">
        <v>9</v>
      </c>
      <c r="C3" s="5" t="s">
        <v>13</v>
      </c>
      <c r="D3" s="6" t="n">
        <v>46261</v>
      </c>
      <c r="E3" s="6" t="n">
        <v>46267</v>
      </c>
      <c r="F3" s="7" t="n">
        <f aca="false">E3-D3+1</f>
        <v>7</v>
      </c>
      <c r="G3" s="5"/>
      <c r="H3" s="8" t="n">
        <f aca="false">D3-MIN($D$2:$D$35)</f>
        <v>0</v>
      </c>
      <c r="J3" s="2" t="s">
        <v>14</v>
      </c>
      <c r="K3" s="9" t="n">
        <f aca="false">MAX(E2:E35)-MIN(D2:D35)+1</f>
        <v>127</v>
      </c>
    </row>
    <row r="4" customFormat="false" ht="15" hidden="false" customHeight="true" outlineLevel="0" collapsed="false">
      <c r="A4" s="4" t="n">
        <v>3</v>
      </c>
      <c r="B4" s="5" t="s">
        <v>9</v>
      </c>
      <c r="C4" s="5" t="s">
        <v>15</v>
      </c>
      <c r="D4" s="6" t="n">
        <v>46261</v>
      </c>
      <c r="E4" s="6" t="n">
        <v>46267</v>
      </c>
      <c r="F4" s="7" t="n">
        <f aca="false">E4-D4+1</f>
        <v>7</v>
      </c>
      <c r="G4" s="5" t="s">
        <v>16</v>
      </c>
      <c r="H4" s="8" t="n">
        <f aca="false">D4-MIN($D$2:$D$35)</f>
        <v>0</v>
      </c>
      <c r="J4" s="2" t="s">
        <v>17</v>
      </c>
      <c r="K4" s="9" t="n">
        <f aca="false">COUNTA(C2:C35)</f>
        <v>34</v>
      </c>
    </row>
    <row r="5" customFormat="false" ht="15" hidden="false" customHeight="true" outlineLevel="0" collapsed="false">
      <c r="A5" s="4" t="n">
        <v>4</v>
      </c>
      <c r="B5" s="5" t="s">
        <v>9</v>
      </c>
      <c r="C5" s="5" t="s">
        <v>18</v>
      </c>
      <c r="D5" s="6" t="n">
        <v>46261</v>
      </c>
      <c r="E5" s="6" t="n">
        <v>46267</v>
      </c>
      <c r="F5" s="7" t="n">
        <f aca="false">E5-D5+1</f>
        <v>7</v>
      </c>
      <c r="G5" s="5"/>
      <c r="H5" s="8" t="n">
        <f aca="false">D5-MIN($D$2:$D$35)</f>
        <v>0</v>
      </c>
    </row>
    <row r="6" customFormat="false" ht="15" hidden="false" customHeight="true" outlineLevel="0" collapsed="false">
      <c r="A6" s="4" t="n">
        <v>5</v>
      </c>
      <c r="B6" s="5" t="s">
        <v>9</v>
      </c>
      <c r="C6" s="5" t="s">
        <v>19</v>
      </c>
      <c r="D6" s="6" t="n">
        <v>46261</v>
      </c>
      <c r="E6" s="6" t="n">
        <v>46267</v>
      </c>
      <c r="F6" s="7" t="n">
        <f aca="false">E6-D6+1</f>
        <v>7</v>
      </c>
      <c r="G6" s="5"/>
      <c r="H6" s="8" t="n">
        <f aca="false">D6-MIN($D$2:$D$35)</f>
        <v>0</v>
      </c>
    </row>
    <row r="7" customFormat="false" ht="15" hidden="false" customHeight="true" outlineLevel="0" collapsed="false">
      <c r="A7" s="4" t="n">
        <v>6</v>
      </c>
      <c r="B7" s="5" t="s">
        <v>9</v>
      </c>
      <c r="C7" s="5" t="s">
        <v>20</v>
      </c>
      <c r="D7" s="6" t="n">
        <v>46261</v>
      </c>
      <c r="E7" s="6" t="n">
        <v>46267</v>
      </c>
      <c r="F7" s="7" t="n">
        <f aca="false">E7-D7+1</f>
        <v>7</v>
      </c>
      <c r="G7" s="5"/>
      <c r="H7" s="8" t="n">
        <f aca="false">D7-MIN($D$2:$D$35)</f>
        <v>0</v>
      </c>
    </row>
    <row r="8" customFormat="false" ht="15" hidden="false" customHeight="true" outlineLevel="0" collapsed="false">
      <c r="A8" s="4" t="n">
        <v>7</v>
      </c>
      <c r="B8" s="5" t="s">
        <v>9</v>
      </c>
      <c r="C8" s="5" t="s">
        <v>21</v>
      </c>
      <c r="D8" s="6" t="n">
        <v>46261</v>
      </c>
      <c r="E8" s="6" t="n">
        <v>46267</v>
      </c>
      <c r="F8" s="7" t="n">
        <f aca="false">E8-D8+1</f>
        <v>7</v>
      </c>
      <c r="G8" s="5"/>
      <c r="H8" s="8" t="n">
        <f aca="false">D8-MIN($D$2:$D$35)</f>
        <v>0</v>
      </c>
    </row>
    <row r="9" customFormat="false" ht="15" hidden="false" customHeight="true" outlineLevel="0" collapsed="false">
      <c r="A9" s="4" t="n">
        <v>8</v>
      </c>
      <c r="B9" s="5" t="s">
        <v>9</v>
      </c>
      <c r="C9" s="5" t="s">
        <v>22</v>
      </c>
      <c r="D9" s="6" t="n">
        <v>46261</v>
      </c>
      <c r="E9" s="6" t="n">
        <v>46267</v>
      </c>
      <c r="F9" s="7" t="n">
        <f aca="false">E9-D9+1</f>
        <v>7</v>
      </c>
      <c r="G9" s="5"/>
      <c r="H9" s="8" t="n">
        <f aca="false">D9-MIN($D$2:$D$35)</f>
        <v>0</v>
      </c>
    </row>
    <row r="10" customFormat="false" ht="15" hidden="false" customHeight="true" outlineLevel="0" collapsed="false">
      <c r="A10" s="4" t="n">
        <v>9</v>
      </c>
      <c r="B10" s="5" t="s">
        <v>9</v>
      </c>
      <c r="C10" s="5" t="s">
        <v>23</v>
      </c>
      <c r="D10" s="6" t="n">
        <v>46261</v>
      </c>
      <c r="E10" s="6" t="n">
        <v>46267</v>
      </c>
      <c r="F10" s="7" t="n">
        <f aca="false">E10-D10+1</f>
        <v>7</v>
      </c>
      <c r="G10" s="5"/>
      <c r="H10" s="8" t="n">
        <f aca="false">D10-MIN($D$2:$D$35)</f>
        <v>0</v>
      </c>
    </row>
    <row r="11" customFormat="false" ht="15" hidden="false" customHeight="true" outlineLevel="0" collapsed="false">
      <c r="A11" s="4" t="n">
        <v>10</v>
      </c>
      <c r="B11" s="5" t="s">
        <v>9</v>
      </c>
      <c r="C11" s="5" t="s">
        <v>24</v>
      </c>
      <c r="D11" s="6" t="n">
        <v>46261</v>
      </c>
      <c r="E11" s="6" t="n">
        <v>46267</v>
      </c>
      <c r="F11" s="7" t="n">
        <f aca="false">E11-D11+1</f>
        <v>7</v>
      </c>
      <c r="G11" s="5"/>
      <c r="H11" s="8" t="n">
        <f aca="false">D11-MIN($D$2:$D$35)</f>
        <v>0</v>
      </c>
    </row>
    <row r="12" customFormat="false" ht="15" hidden="false" customHeight="true" outlineLevel="0" collapsed="false">
      <c r="A12" s="4" t="n">
        <v>11</v>
      </c>
      <c r="B12" s="5" t="s">
        <v>25</v>
      </c>
      <c r="C12" s="5" t="s">
        <v>26</v>
      </c>
      <c r="D12" s="6" t="n">
        <v>46268</v>
      </c>
      <c r="E12" s="6" t="n">
        <v>46281</v>
      </c>
      <c r="F12" s="7" t="n">
        <f aca="false">E12-D12+1</f>
        <v>14</v>
      </c>
      <c r="G12" s="5" t="s">
        <v>27</v>
      </c>
      <c r="H12" s="8" t="n">
        <f aca="false">D12-MIN($D$2:$D$35)</f>
        <v>7</v>
      </c>
    </row>
    <row r="13" customFormat="false" ht="15" hidden="false" customHeight="true" outlineLevel="0" collapsed="false">
      <c r="A13" s="4" t="n">
        <v>12</v>
      </c>
      <c r="B13" s="5" t="s">
        <v>25</v>
      </c>
      <c r="C13" s="5" t="s">
        <v>28</v>
      </c>
      <c r="D13" s="6" t="n">
        <v>46273</v>
      </c>
      <c r="E13" s="6" t="n">
        <v>46281</v>
      </c>
      <c r="F13" s="7" t="n">
        <f aca="false">E13-D13+1</f>
        <v>9</v>
      </c>
      <c r="G13" s="5" t="s">
        <v>27</v>
      </c>
      <c r="H13" s="8" t="n">
        <f aca="false">D13-MIN($D$2:$D$35)</f>
        <v>12</v>
      </c>
    </row>
    <row r="14" customFormat="false" ht="15" hidden="false" customHeight="true" outlineLevel="0" collapsed="false">
      <c r="A14" s="4" t="n">
        <v>13</v>
      </c>
      <c r="B14" s="5" t="s">
        <v>25</v>
      </c>
      <c r="C14" s="5" t="s">
        <v>29</v>
      </c>
      <c r="D14" s="6" t="n">
        <v>46273</v>
      </c>
      <c r="E14" s="6" t="n">
        <v>46281</v>
      </c>
      <c r="F14" s="7" t="n">
        <f aca="false">E14-D14+1</f>
        <v>9</v>
      </c>
      <c r="G14" s="5" t="s">
        <v>27</v>
      </c>
      <c r="H14" s="8" t="n">
        <f aca="false">D14-MIN($D$2:$D$35)</f>
        <v>12</v>
      </c>
    </row>
    <row r="15" customFormat="false" ht="15" hidden="false" customHeight="true" outlineLevel="0" collapsed="false">
      <c r="A15" s="4" t="n">
        <v>14</v>
      </c>
      <c r="B15" s="5" t="s">
        <v>30</v>
      </c>
      <c r="C15" s="5" t="s">
        <v>31</v>
      </c>
      <c r="D15" s="6" t="n">
        <v>46282</v>
      </c>
      <c r="E15" s="6" t="n">
        <v>46296</v>
      </c>
      <c r="F15" s="7" t="n">
        <f aca="false">E15-D15+1</f>
        <v>15</v>
      </c>
      <c r="G15" s="5" t="s">
        <v>27</v>
      </c>
      <c r="H15" s="8" t="n">
        <f aca="false">D15-MIN($D$2:$D$35)</f>
        <v>21</v>
      </c>
    </row>
    <row r="16" customFormat="false" ht="15" hidden="false" customHeight="true" outlineLevel="0" collapsed="false">
      <c r="A16" s="4" t="n">
        <v>15</v>
      </c>
      <c r="B16" s="5" t="s">
        <v>30</v>
      </c>
      <c r="C16" s="5" t="s">
        <v>32</v>
      </c>
      <c r="D16" s="6" t="n">
        <v>46282</v>
      </c>
      <c r="E16" s="6" t="n">
        <v>46293</v>
      </c>
      <c r="F16" s="7" t="n">
        <f aca="false">E16-D16+1</f>
        <v>12</v>
      </c>
      <c r="G16" s="5"/>
      <c r="H16" s="8" t="n">
        <f aca="false">D16-MIN($D$2:$D$35)</f>
        <v>21</v>
      </c>
    </row>
    <row r="17" customFormat="false" ht="15" hidden="false" customHeight="true" outlineLevel="0" collapsed="false">
      <c r="A17" s="4" t="n">
        <v>16</v>
      </c>
      <c r="B17" s="5" t="s">
        <v>30</v>
      </c>
      <c r="C17" s="5" t="s">
        <v>33</v>
      </c>
      <c r="D17" s="6" t="n">
        <v>46287</v>
      </c>
      <c r="E17" s="6" t="n">
        <v>46296</v>
      </c>
      <c r="F17" s="7" t="n">
        <f aca="false">E17-D17+1</f>
        <v>10</v>
      </c>
      <c r="G17" s="5"/>
      <c r="H17" s="8" t="n">
        <f aca="false">D17-MIN($D$2:$D$35)</f>
        <v>26</v>
      </c>
    </row>
    <row r="18" customFormat="false" ht="15" hidden="false" customHeight="true" outlineLevel="0" collapsed="false">
      <c r="A18" s="4" t="n">
        <v>17</v>
      </c>
      <c r="B18" s="5" t="s">
        <v>30</v>
      </c>
      <c r="C18" s="5" t="s">
        <v>34</v>
      </c>
      <c r="D18" s="6" t="n">
        <v>46282</v>
      </c>
      <c r="E18" s="6" t="n">
        <v>46295</v>
      </c>
      <c r="F18" s="7" t="n">
        <f aca="false">E18-D18+1</f>
        <v>14</v>
      </c>
      <c r="G18" s="5" t="s">
        <v>35</v>
      </c>
      <c r="H18" s="8" t="n">
        <f aca="false">D18-MIN($D$2:$D$35)</f>
        <v>21</v>
      </c>
    </row>
    <row r="19" customFormat="false" ht="15" hidden="false" customHeight="true" outlineLevel="0" collapsed="false">
      <c r="A19" s="4" t="n">
        <v>18</v>
      </c>
      <c r="B19" s="5" t="s">
        <v>30</v>
      </c>
      <c r="C19" s="5" t="s">
        <v>36</v>
      </c>
      <c r="D19" s="6" t="n">
        <v>46282</v>
      </c>
      <c r="E19" s="6" t="n">
        <v>46286</v>
      </c>
      <c r="F19" s="7" t="n">
        <f aca="false">E19-D19+1</f>
        <v>5</v>
      </c>
      <c r="G19" s="5"/>
      <c r="H19" s="8" t="n">
        <f aca="false">D19-MIN($D$2:$D$35)</f>
        <v>21</v>
      </c>
    </row>
    <row r="20" customFormat="false" ht="15" hidden="false" customHeight="true" outlineLevel="0" collapsed="false">
      <c r="A20" s="4" t="n">
        <v>19</v>
      </c>
      <c r="B20" s="5" t="s">
        <v>37</v>
      </c>
      <c r="C20" s="5" t="s">
        <v>38</v>
      </c>
      <c r="D20" s="6" t="n">
        <v>46303</v>
      </c>
      <c r="E20" s="6" t="n">
        <v>46316</v>
      </c>
      <c r="F20" s="7" t="n">
        <f aca="false">E20-D20+1</f>
        <v>14</v>
      </c>
      <c r="G20" s="5" t="s">
        <v>39</v>
      </c>
      <c r="H20" s="8" t="n">
        <f aca="false">D20-MIN($D$2:$D$35)</f>
        <v>42</v>
      </c>
    </row>
    <row r="21" customFormat="false" ht="15" hidden="false" customHeight="true" outlineLevel="0" collapsed="false">
      <c r="A21" s="4" t="n">
        <v>20</v>
      </c>
      <c r="B21" s="5" t="s">
        <v>37</v>
      </c>
      <c r="C21" s="5" t="s">
        <v>40</v>
      </c>
      <c r="D21" s="6" t="n">
        <v>46303</v>
      </c>
      <c r="E21" s="6" t="n">
        <v>46316</v>
      </c>
      <c r="F21" s="7" t="n">
        <f aca="false">E21-D21+1</f>
        <v>14</v>
      </c>
      <c r="G21" s="5"/>
      <c r="H21" s="8" t="n">
        <f aca="false">D21-MIN($D$2:$D$35)</f>
        <v>42</v>
      </c>
    </row>
    <row r="22" customFormat="false" ht="15" hidden="false" customHeight="true" outlineLevel="0" collapsed="false">
      <c r="A22" s="4" t="n">
        <v>21</v>
      </c>
      <c r="B22" s="5" t="s">
        <v>37</v>
      </c>
      <c r="C22" s="5" t="s">
        <v>41</v>
      </c>
      <c r="D22" s="6" t="n">
        <v>46310</v>
      </c>
      <c r="E22" s="6" t="n">
        <v>46330</v>
      </c>
      <c r="F22" s="7" t="n">
        <f aca="false">E22-D22+1</f>
        <v>21</v>
      </c>
      <c r="G22" s="5"/>
      <c r="H22" s="8" t="n">
        <f aca="false">D22-MIN($D$2:$D$35)</f>
        <v>49</v>
      </c>
    </row>
    <row r="23" customFormat="false" ht="15" hidden="false" customHeight="true" outlineLevel="0" collapsed="false">
      <c r="A23" s="4" t="n">
        <v>22</v>
      </c>
      <c r="B23" s="5" t="s">
        <v>37</v>
      </c>
      <c r="C23" s="5" t="s">
        <v>42</v>
      </c>
      <c r="D23" s="6" t="n">
        <v>46310</v>
      </c>
      <c r="E23" s="6" t="n">
        <v>46330</v>
      </c>
      <c r="F23" s="7" t="n">
        <f aca="false">E23-D23+1</f>
        <v>21</v>
      </c>
      <c r="G23" s="5"/>
      <c r="H23" s="8" t="n">
        <f aca="false">D23-MIN($D$2:$D$35)</f>
        <v>49</v>
      </c>
    </row>
    <row r="24" customFormat="false" ht="15" hidden="false" customHeight="true" outlineLevel="0" collapsed="false">
      <c r="A24" s="4" t="n">
        <v>23</v>
      </c>
      <c r="B24" s="5" t="s">
        <v>43</v>
      </c>
      <c r="C24" s="5" t="s">
        <v>44</v>
      </c>
      <c r="D24" s="6" t="n">
        <v>46331</v>
      </c>
      <c r="E24" s="6" t="n">
        <v>46351</v>
      </c>
      <c r="F24" s="7" t="n">
        <f aca="false">E24-D24+1</f>
        <v>21</v>
      </c>
      <c r="G24" s="5"/>
      <c r="H24" s="8" t="n">
        <f aca="false">D24-MIN($D$2:$D$35)</f>
        <v>70</v>
      </c>
    </row>
    <row r="25" customFormat="false" ht="15" hidden="false" customHeight="true" outlineLevel="0" collapsed="false">
      <c r="A25" s="4" t="n">
        <v>24</v>
      </c>
      <c r="B25" s="5" t="s">
        <v>43</v>
      </c>
      <c r="C25" s="5" t="s">
        <v>45</v>
      </c>
      <c r="D25" s="6" t="n">
        <v>46331</v>
      </c>
      <c r="E25" s="6" t="n">
        <v>46351</v>
      </c>
      <c r="F25" s="7" t="n">
        <f aca="false">E25-D25+1</f>
        <v>21</v>
      </c>
      <c r="G25" s="5"/>
      <c r="H25" s="8" t="n">
        <f aca="false">D25-MIN($D$2:$D$35)</f>
        <v>70</v>
      </c>
    </row>
    <row r="26" customFormat="false" ht="15" hidden="false" customHeight="true" outlineLevel="0" collapsed="false">
      <c r="A26" s="4" t="n">
        <v>25</v>
      </c>
      <c r="B26" s="5" t="s">
        <v>43</v>
      </c>
      <c r="C26" s="5" t="s">
        <v>46</v>
      </c>
      <c r="D26" s="6" t="n">
        <v>46331</v>
      </c>
      <c r="E26" s="6" t="n">
        <v>46344</v>
      </c>
      <c r="F26" s="7" t="n">
        <f aca="false">E26-D26+1</f>
        <v>14</v>
      </c>
      <c r="G26" s="5"/>
      <c r="H26" s="8" t="n">
        <f aca="false">D26-MIN($D$2:$D$35)</f>
        <v>70</v>
      </c>
    </row>
    <row r="27" customFormat="false" ht="15" hidden="false" customHeight="true" outlineLevel="0" collapsed="false">
      <c r="A27" s="4" t="n">
        <v>26</v>
      </c>
      <c r="B27" s="5" t="s">
        <v>43</v>
      </c>
      <c r="C27" s="5" t="s">
        <v>47</v>
      </c>
      <c r="D27" s="6" t="n">
        <v>46331</v>
      </c>
      <c r="E27" s="6" t="n">
        <v>46344</v>
      </c>
      <c r="F27" s="7" t="n">
        <f aca="false">E27-D27+1</f>
        <v>14</v>
      </c>
      <c r="G27" s="5"/>
      <c r="H27" s="8" t="n">
        <f aca="false">D27-MIN($D$2:$D$35)</f>
        <v>70</v>
      </c>
    </row>
    <row r="28" customFormat="false" ht="15" hidden="false" customHeight="true" outlineLevel="0" collapsed="false">
      <c r="A28" s="4" t="n">
        <v>27</v>
      </c>
      <c r="B28" s="5" t="s">
        <v>43</v>
      </c>
      <c r="C28" s="5" t="s">
        <v>48</v>
      </c>
      <c r="D28" s="6" t="n">
        <v>46344</v>
      </c>
      <c r="E28" s="6" t="n">
        <v>46358</v>
      </c>
      <c r="F28" s="7" t="n">
        <f aca="false">E28-D28+1</f>
        <v>15</v>
      </c>
      <c r="G28" s="5" t="s">
        <v>49</v>
      </c>
      <c r="H28" s="8" t="n">
        <f aca="false">D28-MIN($D$2:$D$35)</f>
        <v>83</v>
      </c>
    </row>
    <row r="29" customFormat="false" ht="15" hidden="false" customHeight="true" outlineLevel="0" collapsed="false">
      <c r="A29" s="4" t="n">
        <v>28</v>
      </c>
      <c r="B29" s="5" t="s">
        <v>50</v>
      </c>
      <c r="C29" s="5" t="s">
        <v>51</v>
      </c>
      <c r="D29" s="6" t="n">
        <v>46359</v>
      </c>
      <c r="E29" s="6" t="n">
        <v>46365</v>
      </c>
      <c r="F29" s="7" t="n">
        <f aca="false">E29-D29+1</f>
        <v>7</v>
      </c>
      <c r="G29" s="5"/>
      <c r="H29" s="8" t="n">
        <f aca="false">D29-MIN($D$2:$D$35)</f>
        <v>98</v>
      </c>
    </row>
    <row r="30" customFormat="false" ht="15" hidden="false" customHeight="true" outlineLevel="0" collapsed="false">
      <c r="A30" s="4" t="n">
        <v>29</v>
      </c>
      <c r="B30" s="5" t="s">
        <v>50</v>
      </c>
      <c r="C30" s="5" t="s">
        <v>52</v>
      </c>
      <c r="D30" s="6" t="n">
        <v>46359</v>
      </c>
      <c r="E30" s="6" t="n">
        <v>46368</v>
      </c>
      <c r="F30" s="7" t="n">
        <f aca="false">E30-D30+1</f>
        <v>10</v>
      </c>
      <c r="G30" s="5"/>
      <c r="H30" s="8" t="n">
        <f aca="false">D30-MIN($D$2:$D$35)</f>
        <v>98</v>
      </c>
    </row>
    <row r="31" customFormat="false" ht="15" hidden="false" customHeight="true" outlineLevel="0" collapsed="false">
      <c r="A31" s="4" t="n">
        <v>30</v>
      </c>
      <c r="B31" s="5" t="s">
        <v>50</v>
      </c>
      <c r="C31" s="5" t="s">
        <v>53</v>
      </c>
      <c r="D31" s="6" t="n">
        <v>46364</v>
      </c>
      <c r="E31" s="6" t="n">
        <v>46372</v>
      </c>
      <c r="F31" s="7" t="n">
        <f aca="false">E31-D31+1</f>
        <v>9</v>
      </c>
      <c r="G31" s="5"/>
      <c r="H31" s="8" t="n">
        <f aca="false">D31-MIN($D$2:$D$35)</f>
        <v>103</v>
      </c>
    </row>
    <row r="32" customFormat="false" ht="14.25" hidden="false" customHeight="false" outlineLevel="0" collapsed="false">
      <c r="A32" s="4" t="n">
        <v>31</v>
      </c>
      <c r="B32" s="5" t="s">
        <v>54</v>
      </c>
      <c r="C32" s="5" t="s">
        <v>55</v>
      </c>
      <c r="D32" s="6" t="n">
        <v>46373</v>
      </c>
      <c r="E32" s="6" t="n">
        <v>46383</v>
      </c>
      <c r="F32" s="7" t="n">
        <f aca="false">E32-D32+1</f>
        <v>11</v>
      </c>
      <c r="G32" s="5"/>
      <c r="H32" s="8" t="n">
        <f aca="false">D32-MIN($D$2:$D$35)</f>
        <v>112</v>
      </c>
    </row>
    <row r="33" customFormat="false" ht="14.25" hidden="false" customHeight="false" outlineLevel="0" collapsed="false">
      <c r="A33" s="4" t="n">
        <v>32</v>
      </c>
      <c r="B33" s="5" t="s">
        <v>54</v>
      </c>
      <c r="C33" s="5" t="s">
        <v>56</v>
      </c>
      <c r="D33" s="6" t="n">
        <v>46373</v>
      </c>
      <c r="E33" s="6" t="n">
        <v>46380</v>
      </c>
      <c r="F33" s="7" t="n">
        <f aca="false">E33-D33+1</f>
        <v>8</v>
      </c>
      <c r="G33" s="5"/>
      <c r="H33" s="8" t="n">
        <f aca="false">D33-MIN($D$2:$D$35)</f>
        <v>112</v>
      </c>
    </row>
    <row r="34" customFormat="false" ht="14.25" hidden="false" customHeight="false" outlineLevel="0" collapsed="false">
      <c r="A34" s="4" t="n">
        <v>33</v>
      </c>
      <c r="B34" s="5" t="s">
        <v>54</v>
      </c>
      <c r="C34" s="5" t="s">
        <v>57</v>
      </c>
      <c r="D34" s="6" t="n">
        <v>46380</v>
      </c>
      <c r="E34" s="6" t="n">
        <v>46386</v>
      </c>
      <c r="F34" s="7" t="n">
        <f aca="false">E34-D34+1</f>
        <v>7</v>
      </c>
      <c r="G34" s="5"/>
      <c r="H34" s="8" t="n">
        <f aca="false">D34-MIN($D$2:$D$35)</f>
        <v>119</v>
      </c>
    </row>
    <row r="35" customFormat="false" ht="14.25" hidden="false" customHeight="false" outlineLevel="0" collapsed="false">
      <c r="A35" s="4" t="n">
        <v>34</v>
      </c>
      <c r="B35" s="5" t="s">
        <v>54</v>
      </c>
      <c r="C35" s="5" t="s">
        <v>58</v>
      </c>
      <c r="D35" s="6" t="n">
        <v>46387</v>
      </c>
      <c r="E35" s="6" t="n">
        <v>46387</v>
      </c>
      <c r="F35" s="7" t="n">
        <f aca="false">E35-D35+1</f>
        <v>1</v>
      </c>
      <c r="G35" s="5"/>
      <c r="H35" s="8" t="n">
        <f aca="false">D35-MIN($D$2:$D$35)</f>
        <v>126</v>
      </c>
    </row>
    <row r="37" customFormat="false" ht="14.25" hidden="false" customHeight="false" outlineLevel="0" collapsed="false">
      <c r="A37" s="10" t="s">
        <v>59</v>
      </c>
    </row>
    <row r="38" customFormat="false" ht="14.25" hidden="false" customHeight="false" outlineLevel="0" collapsed="false">
      <c r="A38" s="11" t="s">
        <v>60</v>
      </c>
    </row>
    <row r="39" customFormat="false" ht="14.25" hidden="false" customHeight="false" outlineLevel="0" collapsed="false">
      <c r="A39" s="11" t="s">
        <v>61</v>
      </c>
    </row>
    <row r="40" customFormat="false" ht="14.25" hidden="false" customHeight="false" outlineLevel="0" collapsed="false">
      <c r="A40" s="11" t="s">
        <v>62</v>
      </c>
    </row>
    <row r="41" customFormat="false" ht="14.25" hidden="false" customHeight="false" outlineLevel="0" collapsed="false">
      <c r="A41" s="11" t="s">
        <v>63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.29"/>
    <col collapsed="false" customWidth="true" hidden="false" outlineLevel="0" max="3" min="3" style="0" width="51.42"/>
    <col collapsed="false" customWidth="true" hidden="false" outlineLevel="0" max="6" min="4" style="0" width="11.14"/>
    <col collapsed="false" customWidth="true" hidden="false" outlineLevel="0" max="7" min="7" style="0" width="27.71"/>
    <col collapsed="false" customWidth="true" hidden="false" outlineLevel="0" max="8" min="8" style="0" width="32.15"/>
  </cols>
  <sheetData>
    <row r="1" customFormat="false" ht="43.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customFormat="false" ht="30.75" hidden="false" customHeight="true" outlineLevel="0" collapsed="false">
      <c r="A2" s="13" t="n">
        <v>1</v>
      </c>
      <c r="B2" s="14" t="s">
        <v>9</v>
      </c>
      <c r="C2" s="13" t="s">
        <v>10</v>
      </c>
      <c r="D2" s="15" t="n">
        <v>46261</v>
      </c>
      <c r="E2" s="15" t="n">
        <v>46267</v>
      </c>
      <c r="F2" s="16" t="n">
        <f aca="false">E2-D2+1</f>
        <v>7</v>
      </c>
      <c r="G2" s="13" t="s">
        <v>11</v>
      </c>
    </row>
    <row r="3" customFormat="false" ht="15" hidden="false" customHeight="false" outlineLevel="0" collapsed="false">
      <c r="A3" s="13" t="n">
        <v>2</v>
      </c>
      <c r="B3" s="14" t="s">
        <v>9</v>
      </c>
      <c r="C3" s="13" t="s">
        <v>13</v>
      </c>
      <c r="D3" s="15" t="n">
        <v>46261</v>
      </c>
      <c r="E3" s="15" t="n">
        <v>46267</v>
      </c>
      <c r="F3" s="16" t="n">
        <f aca="false">E3-D3+1</f>
        <v>7</v>
      </c>
      <c r="G3" s="13"/>
    </row>
    <row r="4" customFormat="false" ht="15" hidden="false" customHeight="false" outlineLevel="0" collapsed="false">
      <c r="A4" s="13" t="n">
        <v>3</v>
      </c>
      <c r="B4" s="14" t="s">
        <v>9</v>
      </c>
      <c r="C4" s="13" t="s">
        <v>15</v>
      </c>
      <c r="D4" s="15" t="n">
        <v>46261</v>
      </c>
      <c r="E4" s="15" t="n">
        <v>46267</v>
      </c>
      <c r="F4" s="16" t="n">
        <f aca="false">E4-D4+1</f>
        <v>7</v>
      </c>
      <c r="G4" s="13" t="s">
        <v>16</v>
      </c>
    </row>
    <row r="5" customFormat="false" ht="15" hidden="false" customHeight="false" outlineLevel="0" collapsed="false">
      <c r="A5" s="13" t="n">
        <v>4</v>
      </c>
      <c r="B5" s="14" t="s">
        <v>9</v>
      </c>
      <c r="C5" s="13" t="s">
        <v>18</v>
      </c>
      <c r="D5" s="15" t="n">
        <v>46261</v>
      </c>
      <c r="E5" s="15" t="n">
        <v>46267</v>
      </c>
      <c r="F5" s="16" t="n">
        <f aca="false">E5-D5+1</f>
        <v>7</v>
      </c>
      <c r="G5" s="13"/>
    </row>
    <row r="6" customFormat="false" ht="15" hidden="false" customHeight="false" outlineLevel="0" collapsed="false">
      <c r="A6" s="13" t="n">
        <v>5</v>
      </c>
      <c r="B6" s="14" t="s">
        <v>9</v>
      </c>
      <c r="C6" s="13" t="s">
        <v>19</v>
      </c>
      <c r="D6" s="15" t="n">
        <v>46261</v>
      </c>
      <c r="E6" s="15" t="n">
        <v>46267</v>
      </c>
      <c r="F6" s="16" t="n">
        <f aca="false">E6-D6+1</f>
        <v>7</v>
      </c>
      <c r="G6" s="13"/>
    </row>
    <row r="7" customFormat="false" ht="15" hidden="false" customHeight="false" outlineLevel="0" collapsed="false">
      <c r="A7" s="0" t="n">
        <v>6</v>
      </c>
      <c r="B7" s="14" t="s">
        <v>9</v>
      </c>
      <c r="C7" s="17" t="s">
        <v>20</v>
      </c>
      <c r="D7" s="15" t="n">
        <v>46261</v>
      </c>
      <c r="E7" s="15" t="n">
        <v>46267</v>
      </c>
      <c r="F7" s="16" t="n">
        <f aca="false">E7-D7+1</f>
        <v>7</v>
      </c>
    </row>
    <row r="8" customFormat="false" ht="15" hidden="false" customHeight="false" outlineLevel="0" collapsed="false">
      <c r="A8" s="0" t="n">
        <v>7</v>
      </c>
      <c r="B8" s="14" t="s">
        <v>9</v>
      </c>
      <c r="C8" s="17" t="s">
        <v>21</v>
      </c>
      <c r="D8" s="15" t="n">
        <v>46261</v>
      </c>
      <c r="E8" s="15" t="n">
        <v>46267</v>
      </c>
      <c r="F8" s="16" t="n">
        <f aca="false">E8-D8+1</f>
        <v>7</v>
      </c>
    </row>
    <row r="9" customFormat="false" ht="15" hidden="false" customHeight="false" outlineLevel="0" collapsed="false">
      <c r="A9" s="0" t="n">
        <v>8</v>
      </c>
      <c r="B9" s="14" t="s">
        <v>9</v>
      </c>
      <c r="C9" s="17" t="s">
        <v>22</v>
      </c>
      <c r="D9" s="15" t="n">
        <v>46261</v>
      </c>
      <c r="E9" s="15" t="n">
        <v>46267</v>
      </c>
      <c r="F9" s="16" t="n">
        <f aca="false">E9-D9+1</f>
        <v>7</v>
      </c>
    </row>
    <row r="10" customFormat="false" ht="15" hidden="false" customHeight="false" outlineLevel="0" collapsed="false">
      <c r="A10" s="0" t="n">
        <v>9</v>
      </c>
      <c r="B10" s="14" t="s">
        <v>9</v>
      </c>
      <c r="C10" s="17" t="s">
        <v>23</v>
      </c>
      <c r="D10" s="15" t="n">
        <v>46261</v>
      </c>
      <c r="E10" s="15" t="n">
        <v>46267</v>
      </c>
      <c r="F10" s="16" t="n">
        <f aca="false">E10-D10+1</f>
        <v>7</v>
      </c>
    </row>
    <row r="11" customFormat="false" ht="15" hidden="false" customHeight="false" outlineLevel="0" collapsed="false">
      <c r="A11" s="0" t="n">
        <v>10</v>
      </c>
      <c r="B11" s="14" t="s">
        <v>9</v>
      </c>
      <c r="C11" s="17" t="s">
        <v>24</v>
      </c>
      <c r="D11" s="15" t="n">
        <v>46261</v>
      </c>
      <c r="E11" s="15" t="n">
        <v>46267</v>
      </c>
      <c r="F11" s="16" t="n">
        <f aca="false">E11-D11+1</f>
        <v>7</v>
      </c>
    </row>
    <row r="12" customFormat="false" ht="15" hidden="false" customHeight="false" outlineLevel="0" collapsed="false">
      <c r="A12" s="13" t="n">
        <v>11</v>
      </c>
      <c r="B12" s="18" t="s">
        <v>25</v>
      </c>
      <c r="C12" s="13" t="s">
        <v>26</v>
      </c>
      <c r="D12" s="15" t="n">
        <v>46268</v>
      </c>
      <c r="E12" s="15" t="n">
        <v>46281</v>
      </c>
      <c r="F12" s="16" t="n">
        <f aca="false">E12-D12+1</f>
        <v>14</v>
      </c>
      <c r="G12" s="13"/>
    </row>
    <row r="13" customFormat="false" ht="15" hidden="false" customHeight="false" outlineLevel="0" collapsed="false">
      <c r="A13" s="13" t="n">
        <v>12</v>
      </c>
      <c r="B13" s="18" t="s">
        <v>25</v>
      </c>
      <c r="C13" s="13" t="s">
        <v>28</v>
      </c>
      <c r="D13" s="15" t="n">
        <v>46273</v>
      </c>
      <c r="E13" s="15" t="n">
        <v>46281</v>
      </c>
      <c r="F13" s="16" t="n">
        <f aca="false">E13-D13+1</f>
        <v>9</v>
      </c>
      <c r="G13" s="13"/>
    </row>
    <row r="14" customFormat="false" ht="15" hidden="false" customHeight="false" outlineLevel="0" collapsed="false">
      <c r="A14" s="13" t="n">
        <v>13</v>
      </c>
      <c r="B14" s="18" t="s">
        <v>25</v>
      </c>
      <c r="C14" s="19" t="s">
        <v>29</v>
      </c>
      <c r="D14" s="15" t="n">
        <v>46273</v>
      </c>
      <c r="E14" s="15" t="n">
        <v>46281</v>
      </c>
      <c r="F14" s="16" t="n">
        <f aca="false">E14-D14+1</f>
        <v>9</v>
      </c>
      <c r="G14" s="13"/>
    </row>
    <row r="15" customFormat="false" ht="15" hidden="false" customHeight="false" outlineLevel="0" collapsed="false">
      <c r="A15" s="13" t="n">
        <v>14</v>
      </c>
      <c r="B15" s="20" t="s">
        <v>30</v>
      </c>
      <c r="C15" s="13" t="s">
        <v>31</v>
      </c>
      <c r="D15" s="15" t="n">
        <v>46282</v>
      </c>
      <c r="E15" s="15" t="n">
        <v>46296</v>
      </c>
      <c r="F15" s="16" t="n">
        <f aca="false">E15-D15+1</f>
        <v>15</v>
      </c>
      <c r="G15" s="13"/>
    </row>
    <row r="16" customFormat="false" ht="15" hidden="false" customHeight="false" outlineLevel="0" collapsed="false">
      <c r="A16" s="13" t="n">
        <v>15</v>
      </c>
      <c r="B16" s="20" t="s">
        <v>30</v>
      </c>
      <c r="C16" s="13" t="s">
        <v>32</v>
      </c>
      <c r="D16" s="15" t="n">
        <v>46282</v>
      </c>
      <c r="E16" s="15" t="n">
        <v>46293</v>
      </c>
      <c r="F16" s="16" t="n">
        <f aca="false">E16-D16+1</f>
        <v>12</v>
      </c>
      <c r="G16" s="13"/>
    </row>
    <row r="17" customFormat="false" ht="15" hidden="false" customHeight="false" outlineLevel="0" collapsed="false">
      <c r="A17" s="13" t="n">
        <v>16</v>
      </c>
      <c r="B17" s="20" t="s">
        <v>30</v>
      </c>
      <c r="C17" s="13" t="s">
        <v>33</v>
      </c>
      <c r="D17" s="15" t="n">
        <v>46287</v>
      </c>
      <c r="E17" s="15" t="n">
        <v>46296</v>
      </c>
      <c r="F17" s="16" t="n">
        <f aca="false">E17-D17+1</f>
        <v>10</v>
      </c>
      <c r="G17" s="13"/>
    </row>
    <row r="18" customFormat="false" ht="15" hidden="false" customHeight="false" outlineLevel="0" collapsed="false">
      <c r="A18" s="13" t="n">
        <v>17</v>
      </c>
      <c r="B18" s="20" t="s">
        <v>30</v>
      </c>
      <c r="C18" s="13" t="s">
        <v>34</v>
      </c>
      <c r="D18" s="15" t="n">
        <v>46282</v>
      </c>
      <c r="E18" s="15" t="n">
        <v>46295</v>
      </c>
      <c r="F18" s="16" t="n">
        <f aca="false">E18-D18+1</f>
        <v>14</v>
      </c>
      <c r="G18" s="13" t="s">
        <v>35</v>
      </c>
    </row>
    <row r="19" customFormat="false" ht="15" hidden="false" customHeight="false" outlineLevel="0" collapsed="false">
      <c r="A19" s="13" t="n">
        <v>18</v>
      </c>
      <c r="B19" s="20" t="s">
        <v>30</v>
      </c>
      <c r="C19" s="13" t="s">
        <v>36</v>
      </c>
      <c r="D19" s="15" t="n">
        <v>46282</v>
      </c>
      <c r="E19" s="15" t="n">
        <v>46286</v>
      </c>
      <c r="F19" s="16" t="n">
        <f aca="false">E19-D19+1</f>
        <v>5</v>
      </c>
      <c r="G19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4:B66"/>
  <sheetViews>
    <sheetView showFormulas="false" showGridLines="false" showRowColHeaders="true" showZeros="true" rightToLeft="false" tabSelected="true" showOutlineSymbols="true" defaultGridColor="true" view="normal" topLeftCell="A26" colorId="64" zoomScale="59" zoomScaleNormal="59" zoomScalePageLayoutView="100" workbookViewId="0">
      <selection pane="topLeft" activeCell="A44" activeCellId="0" sqref="A44"/>
    </sheetView>
  </sheetViews>
  <sheetFormatPr defaultColWidth="8.714843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</cols>
  <sheetData>
    <row r="44" customFormat="false" ht="15" hidden="false" customHeight="true" outlineLevel="0" collapsed="false">
      <c r="A44" s="21"/>
    </row>
    <row r="45" customFormat="false" ht="14.25" hidden="false" customHeight="false" outlineLevel="0" collapsed="false">
      <c r="B45" s="22"/>
    </row>
    <row r="46" customFormat="false" ht="14.25" hidden="false" customHeight="false" outlineLevel="0" collapsed="false">
      <c r="B46" s="22"/>
    </row>
    <row r="47" customFormat="false" ht="14.25" hidden="false" customHeight="false" outlineLevel="0" collapsed="false">
      <c r="B47" s="22"/>
    </row>
    <row r="48" customFormat="false" ht="14.25" hidden="false" customHeight="false" outlineLevel="0" collapsed="false">
      <c r="B48" s="22"/>
    </row>
    <row r="49" customFormat="false" ht="14.25" hidden="false" customHeight="false" outlineLevel="0" collapsed="false">
      <c r="B49" s="22"/>
    </row>
    <row r="50" customFormat="false" ht="14.25" hidden="false" customHeight="false" outlineLevel="0" collapsed="false">
      <c r="B50" s="22"/>
    </row>
    <row r="51" customFormat="false" ht="14.25" hidden="false" customHeight="false" outlineLevel="0" collapsed="false">
      <c r="B51" s="22"/>
    </row>
    <row r="59" customFormat="false" ht="14.25" hidden="false" customHeight="false" outlineLevel="0" collapsed="false">
      <c r="A59" s="23" t="s">
        <v>64</v>
      </c>
    </row>
    <row r="60" customFormat="false" ht="14.25" hidden="false" customHeight="false" outlineLevel="0" collapsed="false">
      <c r="A60" s="24"/>
      <c r="B60" s="25" t="s">
        <v>9</v>
      </c>
    </row>
    <row r="61" customFormat="false" ht="14.25" hidden="false" customHeight="false" outlineLevel="0" collapsed="false">
      <c r="A61" s="26"/>
      <c r="B61" s="25" t="s">
        <v>25</v>
      </c>
    </row>
    <row r="62" customFormat="false" ht="14.25" hidden="false" customHeight="false" outlineLevel="0" collapsed="false">
      <c r="A62" s="27"/>
      <c r="B62" s="25" t="s">
        <v>30</v>
      </c>
    </row>
    <row r="63" customFormat="false" ht="14.25" hidden="false" customHeight="false" outlineLevel="0" collapsed="false">
      <c r="A63" s="28"/>
      <c r="B63" s="25" t="s">
        <v>37</v>
      </c>
    </row>
    <row r="64" customFormat="false" ht="14.25" hidden="false" customHeight="false" outlineLevel="0" collapsed="false">
      <c r="A64" s="29"/>
      <c r="B64" s="25" t="s">
        <v>43</v>
      </c>
    </row>
    <row r="65" customFormat="false" ht="14.25" hidden="false" customHeight="false" outlineLevel="0" collapsed="false">
      <c r="A65" s="30"/>
      <c r="B65" s="25" t="s">
        <v>50</v>
      </c>
    </row>
    <row r="66" customFormat="false" ht="14.25" hidden="false" customHeight="false" outlineLevel="0" collapsed="false">
      <c r="A66" s="31"/>
      <c r="B66" s="25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2026-08-26T23:52:39Z</dcterms:created>
  <dc:creator>openpyxl</dc:creator>
  <dc:description/>
  <dc:language>en-US</dc:language>
  <cp:lastModifiedBy/>
  <dcterms:modified xsi:type="dcterms:W3CDTF">2026-08-30T19:06:16Z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0x0101003252E4AC3ED4254486077431E493B3E9</vt:lpwstr>
  </property>
</Properties>
</file>