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Grad\docs\"/>
    </mc:Choice>
  </mc:AlternateContent>
  <xr:revisionPtr revIDLastSave="0" documentId="13_ncr:1_{097AA646-4903-4B41-AAA5-707CEC1E46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sk List" sheetId="1" r:id="rId1"/>
    <sheet name="Gantt Cha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N14" i="1"/>
  <c r="M14" i="1"/>
  <c r="K14" i="1"/>
  <c r="H14" i="1"/>
  <c r="P14" i="1" s="1"/>
  <c r="O13" i="1"/>
  <c r="N13" i="1"/>
  <c r="M13" i="1"/>
  <c r="K13" i="1"/>
  <c r="H13" i="1"/>
  <c r="P13" i="1" s="1"/>
  <c r="P12" i="1"/>
  <c r="N12" i="1"/>
  <c r="M12" i="1"/>
  <c r="K12" i="1"/>
  <c r="H12" i="1"/>
  <c r="O12" i="1" s="1"/>
  <c r="P11" i="1"/>
  <c r="N11" i="1"/>
  <c r="M11" i="1"/>
  <c r="K11" i="1"/>
  <c r="H11" i="1"/>
  <c r="O11" i="1" s="1"/>
  <c r="O10" i="1"/>
  <c r="N10" i="1"/>
  <c r="M10" i="1"/>
  <c r="K10" i="1"/>
  <c r="H10" i="1"/>
  <c r="P10" i="1" s="1"/>
  <c r="O9" i="1"/>
  <c r="N9" i="1"/>
  <c r="M9" i="1"/>
  <c r="K9" i="1"/>
  <c r="H9" i="1"/>
  <c r="P9" i="1" s="1"/>
  <c r="S8" i="1"/>
  <c r="P8" i="1"/>
  <c r="O8" i="1"/>
  <c r="M8" i="1"/>
  <c r="K8" i="1"/>
  <c r="H8" i="1"/>
  <c r="N8" i="1" s="1"/>
  <c r="S7" i="1"/>
  <c r="P7" i="1"/>
  <c r="O7" i="1"/>
  <c r="M7" i="1"/>
  <c r="K7" i="1"/>
  <c r="H7" i="1"/>
  <c r="N7" i="1" s="1"/>
  <c r="S6" i="1"/>
  <c r="P6" i="1"/>
  <c r="O6" i="1"/>
  <c r="N6" i="1"/>
  <c r="K6" i="1"/>
  <c r="H6" i="1"/>
  <c r="M6" i="1" s="1"/>
  <c r="P5" i="1"/>
  <c r="O5" i="1"/>
  <c r="N5" i="1"/>
  <c r="K5" i="1"/>
  <c r="H5" i="1"/>
  <c r="M5" i="1" s="1"/>
  <c r="P4" i="1"/>
  <c r="O4" i="1"/>
  <c r="N4" i="1"/>
  <c r="K4" i="1"/>
  <c r="H4" i="1"/>
  <c r="M4" i="1" s="1"/>
  <c r="P3" i="1"/>
  <c r="O3" i="1"/>
  <c r="N3" i="1"/>
  <c r="K3" i="1"/>
  <c r="H3" i="1"/>
  <c r="M3" i="1" s="1"/>
  <c r="S2" i="1"/>
  <c r="S5" i="1" s="1"/>
  <c r="O2" i="1"/>
  <c r="N2" i="1"/>
  <c r="M2" i="1"/>
  <c r="K2" i="1"/>
  <c r="H2" i="1"/>
  <c r="P2" i="1" s="1"/>
  <c r="S1" i="1"/>
  <c r="S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Gantt</author>
  </authors>
  <commentList>
    <comment ref="F2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Dates are a proposed schedule starting 13-Oct-2026. Edit freely.</t>
        </r>
      </text>
    </comment>
    <comment ref="S3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Deadline given by the team: end of month 12 (31-Dec-2026).</t>
        </r>
      </text>
    </comment>
  </commentList>
</comments>
</file>

<file path=xl/sharedStrings.xml><?xml version="1.0" encoding="utf-8"?>
<sst xmlns="http://schemas.openxmlformats.org/spreadsheetml/2006/main" count="87" uniqueCount="65">
  <si>
    <t>ID</t>
  </si>
  <si>
    <t>Phase</t>
  </si>
  <si>
    <t>Task</t>
  </si>
  <si>
    <t>Type</t>
  </si>
  <si>
    <t>Feature Name / Description</t>
  </si>
  <si>
    <t>Start Date</t>
  </si>
  <si>
    <t>End Date</t>
  </si>
  <si>
    <t>Duration (days)</t>
  </si>
  <si>
    <t>Depends on (ID)</t>
  </si>
  <si>
    <t>Notes</t>
  </si>
  <si>
    <t>Within deadline?</t>
  </si>
  <si>
    <t>AI (days)</t>
  </si>
  <si>
    <t>Normal (days)</t>
  </si>
  <si>
    <t>Thesis (days)</t>
  </si>
  <si>
    <t>General (days)</t>
  </si>
  <si>
    <t>Project start</t>
  </si>
  <si>
    <t>P1: Setup</t>
  </si>
  <si>
    <t>MVP scope freeze &amp; architecture</t>
  </si>
  <si>
    <t>General</t>
  </si>
  <si>
    <t>Project end</t>
  </si>
  <si>
    <t>P2: AI Core</t>
  </si>
  <si>
    <t>AI foundation (models, data, pipeline)</t>
  </si>
  <si>
    <t>AI</t>
  </si>
  <si>
    <t>The 3 AI features wait for this</t>
  </si>
  <si>
    <t>Deadline</t>
  </si>
  <si>
    <t>P3: MVP Features</t>
  </si>
  <si>
    <t>Feature 1</t>
  </si>
  <si>
    <t>2</t>
  </si>
  <si>
    <t>AI-dependent</t>
  </si>
  <si>
    <t>Total days</t>
  </si>
  <si>
    <t>Feature 2</t>
  </si>
  <si>
    <t>Days of slack</t>
  </si>
  <si>
    <t>Feature 3</t>
  </si>
  <si>
    <t>MVP features</t>
  </si>
  <si>
    <t>Feature 4</t>
  </si>
  <si>
    <t>Normal</t>
  </si>
  <si>
    <t>1</t>
  </si>
  <si>
    <t>No AI dependency</t>
  </si>
  <si>
    <t>AI-dependent features</t>
  </si>
  <si>
    <t>Feature 5</t>
  </si>
  <si>
    <t>Schedule status</t>
  </si>
  <si>
    <t>P4: Testing</t>
  </si>
  <si>
    <t>Integration &amp; testing</t>
  </si>
  <si>
    <t>3,4,5,6,7</t>
  </si>
  <si>
    <t>Bug fixes &amp; polish</t>
  </si>
  <si>
    <t>8</t>
  </si>
  <si>
    <t>P5: Thesis</t>
  </si>
  <si>
    <t>Thesis - write chapters</t>
  </si>
  <si>
    <t>Thesis</t>
  </si>
  <si>
    <t>Runs in parallel with the build</t>
  </si>
  <si>
    <t>Thesis - review &amp; finalize</t>
  </si>
  <si>
    <t>10</t>
  </si>
  <si>
    <t>P6: Delivery</t>
  </si>
  <si>
    <t>Presentation &amp; demo rehearsal</t>
  </si>
  <si>
    <t>9</t>
  </si>
  <si>
    <t>Final submission</t>
  </si>
  <si>
    <t>11,12</t>
  </si>
  <si>
    <t>Hard deadline: end of month 12</t>
  </si>
  <si>
    <t>HOW TO USE</t>
  </si>
  <si>
    <t>Yellow cells: type the name / description of each feature. They are left empty on purpose.</t>
  </si>
  <si>
    <t>Blue shaded cells: Start Date, End Date and the Deadline are the only cells to edit. Everything else recalculates.</t>
  </si>
  <si>
    <t>Type drives the bar colour in the chart: AI = AI-dependent, Normal = no AI dependency, Thesis, General.</t>
  </si>
  <si>
    <t>Features 1-3 are AI-dependent and start only after task 2 (AI foundation) ends. Features 4-5 are normal and start right after setup.</t>
  </si>
  <si>
    <t>Columns M-P are chart helpers. Do not edit them.</t>
  </si>
  <si>
    <t>If you move the earliest start or the deadline, update the date axis min/max on the Gantt Chart tab (currently 09-Oct-2026 to 01-Jan-2027).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</si>
</sst>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11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sz val="11"/>
      <color rgb="FF0000FF"/>
      <name val="Arial"/>
    </font>
    <font>
      <b/>
      <sz val="11"/>
      <color rgb="FF7F7F7F"/>
      <name val="Arial"/>
    </font>
    <font>
      <sz val="10"/>
      <color rgb="FF808080"/>
      <name val="Arial"/>
    </font>
    <font>
      <b/>
      <sz val="11"/>
      <color rgb="FF7030A0"/>
      <name val="Arial"/>
    </font>
    <font>
      <b/>
      <sz val="11"/>
      <color rgb="FF2E75B6"/>
      <name val="Arial"/>
    </font>
    <font>
      <b/>
      <sz val="11"/>
      <color rgb="FFC55A11"/>
      <name val="Arial"/>
    </font>
    <font>
      <b/>
      <sz val="11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DEBF7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9" fillId="0" borderId="1" xfId="0" applyFont="1" applyBorder="1"/>
    <xf numFmtId="165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65" fontId="3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 vertical="center"/>
    </xf>
    <xf numFmtId="1" fontId="2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MVP Gantt Chart (13 Oct - 31 Dec 2026)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v>Start</c:v>
          </c:tx>
          <c:spPr>
            <a:noFill/>
            <a:ln>
              <a:noFill/>
              <a:prstDash val="solid"/>
            </a:ln>
          </c:spPr>
          <c:invertIfNegative val="1"/>
          <c:cat>
            <c:strRef>
              <c:f>'Task List'!$C$2:$C$14</c:f>
              <c:strCache>
                <c:ptCount val="13"/>
                <c:pt idx="0">
                  <c:v>MVP scope freeze &amp; architecture</c:v>
                </c:pt>
                <c:pt idx="1">
                  <c:v>AI foundation (models, data, pipeline)</c:v>
                </c:pt>
                <c:pt idx="2">
                  <c:v>Feature 1</c:v>
                </c:pt>
                <c:pt idx="3">
                  <c:v>Feature 2</c:v>
                </c:pt>
                <c:pt idx="4">
                  <c:v>Feature 3</c:v>
                </c:pt>
                <c:pt idx="5">
                  <c:v>Feature 4</c:v>
                </c:pt>
                <c:pt idx="6">
                  <c:v>Feature 5</c:v>
                </c:pt>
                <c:pt idx="7">
                  <c:v>Integration &amp; testing</c:v>
                </c:pt>
                <c:pt idx="8">
                  <c:v>Bug fixes &amp; polish</c:v>
                </c:pt>
                <c:pt idx="9">
                  <c:v>Thesis - write chapters</c:v>
                </c:pt>
                <c:pt idx="10">
                  <c:v>Thesis - review &amp; finalize</c:v>
                </c:pt>
                <c:pt idx="11">
                  <c:v>Presentation &amp; demo rehearsal</c:v>
                </c:pt>
                <c:pt idx="12">
                  <c:v>Final submission</c:v>
                </c:pt>
              </c:strCache>
            </c:strRef>
          </c:cat>
          <c:val>
            <c:numRef>
              <c:f>'Task List'!$F$2:$F$14</c:f>
              <c:numCache>
                <c:formatCode>dd\-mmm\-yyyy</c:formatCode>
                <c:ptCount val="13"/>
                <c:pt idx="0">
                  <c:v>46308</c:v>
                </c:pt>
                <c:pt idx="1">
                  <c:v>46308</c:v>
                </c:pt>
                <c:pt idx="2">
                  <c:v>46328</c:v>
                </c:pt>
                <c:pt idx="3">
                  <c:v>46335</c:v>
                </c:pt>
                <c:pt idx="4">
                  <c:v>46342</c:v>
                </c:pt>
                <c:pt idx="5">
                  <c:v>46314</c:v>
                </c:pt>
                <c:pt idx="6">
                  <c:v>46328</c:v>
                </c:pt>
                <c:pt idx="7">
                  <c:v>46363</c:v>
                </c:pt>
                <c:pt idx="8">
                  <c:v>46368</c:v>
                </c:pt>
                <c:pt idx="9">
                  <c:v>46321</c:v>
                </c:pt>
                <c:pt idx="10">
                  <c:v>46370</c:v>
                </c:pt>
                <c:pt idx="11">
                  <c:v>46377</c:v>
                </c:pt>
                <c:pt idx="12">
                  <c:v>46386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49-4C47-9021-EFE7A0F06588}"/>
            </c:ext>
          </c:extLst>
        </c:ser>
        <c:ser>
          <c:idx val="1"/>
          <c:order val="1"/>
          <c:tx>
            <c:v>AI</c:v>
          </c:tx>
          <c:spPr>
            <a:solidFill>
              <a:srgbClr val="7030A0"/>
            </a:solidFill>
            <a:ln>
              <a:noFill/>
              <a:prstDash val="solid"/>
            </a:ln>
          </c:spPr>
          <c:invertIfNegative val="1"/>
          <c:cat>
            <c:strRef>
              <c:f>'Task List'!$C$2:$C$14</c:f>
              <c:strCache>
                <c:ptCount val="13"/>
                <c:pt idx="0">
                  <c:v>MVP scope freeze &amp; architecture</c:v>
                </c:pt>
                <c:pt idx="1">
                  <c:v>AI foundation (models, data, pipeline)</c:v>
                </c:pt>
                <c:pt idx="2">
                  <c:v>Feature 1</c:v>
                </c:pt>
                <c:pt idx="3">
                  <c:v>Feature 2</c:v>
                </c:pt>
                <c:pt idx="4">
                  <c:v>Feature 3</c:v>
                </c:pt>
                <c:pt idx="5">
                  <c:v>Feature 4</c:v>
                </c:pt>
                <c:pt idx="6">
                  <c:v>Feature 5</c:v>
                </c:pt>
                <c:pt idx="7">
                  <c:v>Integration &amp; testing</c:v>
                </c:pt>
                <c:pt idx="8">
                  <c:v>Bug fixes &amp; polish</c:v>
                </c:pt>
                <c:pt idx="9">
                  <c:v>Thesis - write chapters</c:v>
                </c:pt>
                <c:pt idx="10">
                  <c:v>Thesis - review &amp; finalize</c:v>
                </c:pt>
                <c:pt idx="11">
                  <c:v>Presentation &amp; demo rehearsal</c:v>
                </c:pt>
                <c:pt idx="12">
                  <c:v>Final submission</c:v>
                </c:pt>
              </c:strCache>
            </c:strRef>
          </c:cat>
          <c:val>
            <c:numRef>
              <c:f>'Task List'!$M$2:$M$14</c:f>
              <c:numCache>
                <c:formatCode>General</c:formatCode>
                <c:ptCount val="13"/>
                <c:pt idx="0">
                  <c:v>0</c:v>
                </c:pt>
                <c:pt idx="1">
                  <c:v>20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B49-4C47-9021-EFE7A0F06588}"/>
            </c:ext>
          </c:extLst>
        </c:ser>
        <c:ser>
          <c:idx val="2"/>
          <c:order val="2"/>
          <c:tx>
            <c:v>Normal</c:v>
          </c:tx>
          <c:spPr>
            <a:solidFill>
              <a:srgbClr val="2E75B6"/>
            </a:solidFill>
            <a:ln>
              <a:noFill/>
              <a:prstDash val="solid"/>
            </a:ln>
          </c:spPr>
          <c:invertIfNegative val="1"/>
          <c:cat>
            <c:strRef>
              <c:f>'Task List'!$C$2:$C$14</c:f>
              <c:strCache>
                <c:ptCount val="13"/>
                <c:pt idx="0">
                  <c:v>MVP scope freeze &amp; architecture</c:v>
                </c:pt>
                <c:pt idx="1">
                  <c:v>AI foundation (models, data, pipeline)</c:v>
                </c:pt>
                <c:pt idx="2">
                  <c:v>Feature 1</c:v>
                </c:pt>
                <c:pt idx="3">
                  <c:v>Feature 2</c:v>
                </c:pt>
                <c:pt idx="4">
                  <c:v>Feature 3</c:v>
                </c:pt>
                <c:pt idx="5">
                  <c:v>Feature 4</c:v>
                </c:pt>
                <c:pt idx="6">
                  <c:v>Feature 5</c:v>
                </c:pt>
                <c:pt idx="7">
                  <c:v>Integration &amp; testing</c:v>
                </c:pt>
                <c:pt idx="8">
                  <c:v>Bug fixes &amp; polish</c:v>
                </c:pt>
                <c:pt idx="9">
                  <c:v>Thesis - write chapters</c:v>
                </c:pt>
                <c:pt idx="10">
                  <c:v>Thesis - review &amp; finalize</c:v>
                </c:pt>
                <c:pt idx="11">
                  <c:v>Presentation &amp; demo rehearsal</c:v>
                </c:pt>
                <c:pt idx="12">
                  <c:v>Final submission</c:v>
                </c:pt>
              </c:strCache>
            </c:strRef>
          </c:cat>
          <c:val>
            <c:numRef>
              <c:f>'Task List'!$N$2:$N$14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21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CB49-4C47-9021-EFE7A0F06588}"/>
            </c:ext>
          </c:extLst>
        </c:ser>
        <c:ser>
          <c:idx val="3"/>
          <c:order val="3"/>
          <c:tx>
            <c:v>Thesis</c:v>
          </c:tx>
          <c:spPr>
            <a:solidFill>
              <a:srgbClr val="C55A11"/>
            </a:solidFill>
            <a:ln>
              <a:noFill/>
              <a:prstDash val="solid"/>
            </a:ln>
          </c:spPr>
          <c:invertIfNegative val="1"/>
          <c:cat>
            <c:strRef>
              <c:f>'Task List'!$C$2:$C$14</c:f>
              <c:strCache>
                <c:ptCount val="13"/>
                <c:pt idx="0">
                  <c:v>MVP scope freeze &amp; architecture</c:v>
                </c:pt>
                <c:pt idx="1">
                  <c:v>AI foundation (models, data, pipeline)</c:v>
                </c:pt>
                <c:pt idx="2">
                  <c:v>Feature 1</c:v>
                </c:pt>
                <c:pt idx="3">
                  <c:v>Feature 2</c:v>
                </c:pt>
                <c:pt idx="4">
                  <c:v>Feature 3</c:v>
                </c:pt>
                <c:pt idx="5">
                  <c:v>Feature 4</c:v>
                </c:pt>
                <c:pt idx="6">
                  <c:v>Feature 5</c:v>
                </c:pt>
                <c:pt idx="7">
                  <c:v>Integration &amp; testing</c:v>
                </c:pt>
                <c:pt idx="8">
                  <c:v>Bug fixes &amp; polish</c:v>
                </c:pt>
                <c:pt idx="9">
                  <c:v>Thesis - write chapters</c:v>
                </c:pt>
                <c:pt idx="10">
                  <c:v>Thesis - review &amp; finalize</c:v>
                </c:pt>
                <c:pt idx="11">
                  <c:v>Presentation &amp; demo rehearsal</c:v>
                </c:pt>
                <c:pt idx="12">
                  <c:v>Final submission</c:v>
                </c:pt>
              </c:strCache>
            </c:strRef>
          </c:cat>
          <c:val>
            <c:numRef>
              <c:f>'Task List'!$O$2:$O$14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49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CB49-4C47-9021-EFE7A0F06588}"/>
            </c:ext>
          </c:extLst>
        </c:ser>
        <c:ser>
          <c:idx val="4"/>
          <c:order val="4"/>
          <c:tx>
            <c:v>General</c:v>
          </c:tx>
          <c:spPr>
            <a:solidFill>
              <a:srgbClr val="7F7F7F"/>
            </a:solidFill>
            <a:ln>
              <a:noFill/>
              <a:prstDash val="solid"/>
            </a:ln>
          </c:spPr>
          <c:invertIfNegative val="1"/>
          <c:cat>
            <c:strRef>
              <c:f>'Task List'!$C$2:$C$14</c:f>
              <c:strCache>
                <c:ptCount val="13"/>
                <c:pt idx="0">
                  <c:v>MVP scope freeze &amp; architecture</c:v>
                </c:pt>
                <c:pt idx="1">
                  <c:v>AI foundation (models, data, pipeline)</c:v>
                </c:pt>
                <c:pt idx="2">
                  <c:v>Feature 1</c:v>
                </c:pt>
                <c:pt idx="3">
                  <c:v>Feature 2</c:v>
                </c:pt>
                <c:pt idx="4">
                  <c:v>Feature 3</c:v>
                </c:pt>
                <c:pt idx="5">
                  <c:v>Feature 4</c:v>
                </c:pt>
                <c:pt idx="6">
                  <c:v>Feature 5</c:v>
                </c:pt>
                <c:pt idx="7">
                  <c:v>Integration &amp; testing</c:v>
                </c:pt>
                <c:pt idx="8">
                  <c:v>Bug fixes &amp; polish</c:v>
                </c:pt>
                <c:pt idx="9">
                  <c:v>Thesis - write chapters</c:v>
                </c:pt>
                <c:pt idx="10">
                  <c:v>Thesis - review &amp; finalize</c:v>
                </c:pt>
                <c:pt idx="11">
                  <c:v>Presentation &amp; demo rehearsal</c:v>
                </c:pt>
                <c:pt idx="12">
                  <c:v>Final submission</c:v>
                </c:pt>
              </c:strCache>
            </c:strRef>
          </c:cat>
          <c:val>
            <c:numRef>
              <c:f>'Task List'!$P$2:$P$14</c:f>
              <c:numCache>
                <c:formatCode>General</c:formatCode>
                <c:ptCount val="13"/>
                <c:pt idx="0">
                  <c:v>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10</c:v>
                </c:pt>
                <c:pt idx="8">
                  <c:v>9</c:v>
                </c:pt>
                <c:pt idx="9">
                  <c:v>0</c:v>
                </c:pt>
                <c:pt idx="10">
                  <c:v>0</c:v>
                </c:pt>
                <c:pt idx="11">
                  <c:v>9</c:v>
                </c:pt>
                <c:pt idx="12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CB49-4C47-9021-EFE7A0F065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overlap val="10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46388"/>
          <c:min val="46304"/>
        </c:scaling>
        <c:delete val="0"/>
        <c:axPos val="b"/>
        <c:majorGridlines/>
        <c:numFmt formatCode="d\-mmm" sourceLinked="0"/>
        <c:majorTickMark val="none"/>
        <c:minorTickMark val="none"/>
        <c:tickLblPos val="nextTo"/>
        <c:crossAx val="10"/>
        <c:crosses val="max"/>
        <c:crossBetween val="between"/>
        <c:majorUnit val="7"/>
      </c:valAx>
    </c:plotArea>
    <c:legend>
      <c:legendPos val="b"/>
      <c:legendEntry>
        <c:idx val="0"/>
        <c:delete val="1"/>
      </c:legendEntry>
      <c:overlay val="0"/>
    </c:legend>
    <c:plotVisOnly val="1"/>
    <c:dispBlanksAs val="gap"/>
    <c:showDLblsOverMax val="1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1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5" customWidth="1"/>
    <col min="2" max="2" width="20" customWidth="1"/>
    <col min="3" max="3" width="40" customWidth="1"/>
    <col min="4" max="4" width="10" customWidth="1"/>
    <col min="5" max="5" width="36" customWidth="1"/>
    <col min="6" max="7" width="14" customWidth="1"/>
    <col min="8" max="8" width="11" customWidth="1"/>
    <col min="9" max="9" width="12" customWidth="1"/>
    <col min="10" max="10" width="34" customWidth="1"/>
    <col min="11" max="11" width="12" customWidth="1"/>
    <col min="12" max="12" width="3" customWidth="1"/>
    <col min="13" max="16" width="9" customWidth="1"/>
    <col min="17" max="17" width="3" customWidth="1"/>
    <col min="18" max="18" width="24" customWidth="1"/>
    <col min="19" max="19" width="16" customWidth="1"/>
  </cols>
  <sheetData>
    <row r="1" spans="1:19" ht="32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R1" s="2" t="s">
        <v>15</v>
      </c>
      <c r="S1" s="3">
        <f>MIN(F2:F14)</f>
        <v>46308</v>
      </c>
    </row>
    <row r="2" spans="1:19" x14ac:dyDescent="0.25">
      <c r="A2" s="4">
        <v>1</v>
      </c>
      <c r="B2" s="5" t="s">
        <v>16</v>
      </c>
      <c r="C2" s="5" t="s">
        <v>17</v>
      </c>
      <c r="D2" s="6" t="s">
        <v>18</v>
      </c>
      <c r="E2" s="5"/>
      <c r="F2" s="7">
        <v>46308</v>
      </c>
      <c r="G2" s="7">
        <v>46313</v>
      </c>
      <c r="H2" s="4">
        <f t="shared" ref="H2:H14" si="0">G2-F2+1</f>
        <v>6</v>
      </c>
      <c r="I2" s="4"/>
      <c r="J2" s="5"/>
      <c r="K2" s="4" t="str">
        <f t="shared" ref="K2:K14" si="1">IF(G2&lt;=$S$3,"OK","LATE")</f>
        <v>OK</v>
      </c>
      <c r="M2" s="8">
        <f t="shared" ref="M2:M14" si="2">IF($D2="AI",$H2,0)</f>
        <v>0</v>
      </c>
      <c r="N2" s="8">
        <f t="shared" ref="N2:N14" si="3">IF($D2="Normal",$H2,0)</f>
        <v>0</v>
      </c>
      <c r="O2" s="8">
        <f t="shared" ref="O2:O14" si="4">IF($D2="Thesis",$H2,0)</f>
        <v>0</v>
      </c>
      <c r="P2" s="8">
        <f t="shared" ref="P2:P14" si="5">IF($D2="General",$H2,0)</f>
        <v>6</v>
      </c>
      <c r="R2" s="2" t="s">
        <v>19</v>
      </c>
      <c r="S2" s="3">
        <f>MAX(G2:G14)</f>
        <v>46387</v>
      </c>
    </row>
    <row r="3" spans="1:19" x14ac:dyDescent="0.25">
      <c r="A3" s="4">
        <v>2</v>
      </c>
      <c r="B3" s="5" t="s">
        <v>20</v>
      </c>
      <c r="C3" s="5" t="s">
        <v>21</v>
      </c>
      <c r="D3" s="9" t="s">
        <v>22</v>
      </c>
      <c r="E3" s="5"/>
      <c r="F3" s="7">
        <v>46308</v>
      </c>
      <c r="G3" s="7">
        <v>46327</v>
      </c>
      <c r="H3" s="4">
        <f t="shared" si="0"/>
        <v>20</v>
      </c>
      <c r="I3" s="4"/>
      <c r="J3" s="5" t="s">
        <v>23</v>
      </c>
      <c r="K3" s="4" t="str">
        <f t="shared" si="1"/>
        <v>OK</v>
      </c>
      <c r="M3" s="8">
        <f t="shared" si="2"/>
        <v>20</v>
      </c>
      <c r="N3" s="8">
        <f t="shared" si="3"/>
        <v>0</v>
      </c>
      <c r="O3" s="8">
        <f t="shared" si="4"/>
        <v>0</v>
      </c>
      <c r="P3" s="8">
        <f t="shared" si="5"/>
        <v>0</v>
      </c>
      <c r="R3" s="2" t="s">
        <v>24</v>
      </c>
      <c r="S3" s="10">
        <v>46387</v>
      </c>
    </row>
    <row r="4" spans="1:19" x14ac:dyDescent="0.25">
      <c r="A4" s="4">
        <v>3</v>
      </c>
      <c r="B4" s="5" t="s">
        <v>25</v>
      </c>
      <c r="C4" s="5" t="s">
        <v>26</v>
      </c>
      <c r="D4" s="9" t="s">
        <v>22</v>
      </c>
      <c r="E4" s="11"/>
      <c r="F4" s="7">
        <v>46328</v>
      </c>
      <c r="G4" s="7">
        <v>46348</v>
      </c>
      <c r="H4" s="4">
        <f t="shared" si="0"/>
        <v>21</v>
      </c>
      <c r="I4" s="4" t="s">
        <v>27</v>
      </c>
      <c r="J4" s="5" t="s">
        <v>28</v>
      </c>
      <c r="K4" s="4" t="str">
        <f t="shared" si="1"/>
        <v>OK</v>
      </c>
      <c r="M4" s="8">
        <f t="shared" si="2"/>
        <v>21</v>
      </c>
      <c r="N4" s="8">
        <f t="shared" si="3"/>
        <v>0</v>
      </c>
      <c r="O4" s="8">
        <f t="shared" si="4"/>
        <v>0</v>
      </c>
      <c r="P4" s="8">
        <f t="shared" si="5"/>
        <v>0</v>
      </c>
      <c r="R4" s="2" t="s">
        <v>29</v>
      </c>
      <c r="S4" s="12">
        <f>S2-S1+1</f>
        <v>80</v>
      </c>
    </row>
    <row r="5" spans="1:19" x14ac:dyDescent="0.25">
      <c r="A5" s="4">
        <v>4</v>
      </c>
      <c r="B5" s="5" t="s">
        <v>25</v>
      </c>
      <c r="C5" s="5" t="s">
        <v>30</v>
      </c>
      <c r="D5" s="9" t="s">
        <v>22</v>
      </c>
      <c r="E5" s="11"/>
      <c r="F5" s="7">
        <v>46335</v>
      </c>
      <c r="G5" s="7">
        <v>46355</v>
      </c>
      <c r="H5" s="4">
        <f t="shared" si="0"/>
        <v>21</v>
      </c>
      <c r="I5" s="4" t="s">
        <v>27</v>
      </c>
      <c r="J5" s="5" t="s">
        <v>28</v>
      </c>
      <c r="K5" s="4" t="str">
        <f t="shared" si="1"/>
        <v>OK</v>
      </c>
      <c r="M5" s="8">
        <f t="shared" si="2"/>
        <v>21</v>
      </c>
      <c r="N5" s="8">
        <f t="shared" si="3"/>
        <v>0</v>
      </c>
      <c r="O5" s="8">
        <f t="shared" si="4"/>
        <v>0</v>
      </c>
      <c r="P5" s="8">
        <f t="shared" si="5"/>
        <v>0</v>
      </c>
      <c r="R5" s="2" t="s">
        <v>31</v>
      </c>
      <c r="S5" s="12">
        <f>S3-S2</f>
        <v>0</v>
      </c>
    </row>
    <row r="6" spans="1:19" x14ac:dyDescent="0.25">
      <c r="A6" s="4">
        <v>5</v>
      </c>
      <c r="B6" s="5" t="s">
        <v>25</v>
      </c>
      <c r="C6" s="5" t="s">
        <v>32</v>
      </c>
      <c r="D6" s="9" t="s">
        <v>22</v>
      </c>
      <c r="E6" s="11"/>
      <c r="F6" s="7">
        <v>46342</v>
      </c>
      <c r="G6" s="7">
        <v>46362</v>
      </c>
      <c r="H6" s="4">
        <f t="shared" si="0"/>
        <v>21</v>
      </c>
      <c r="I6" s="4" t="s">
        <v>27</v>
      </c>
      <c r="J6" s="5" t="s">
        <v>28</v>
      </c>
      <c r="K6" s="4" t="str">
        <f t="shared" si="1"/>
        <v>OK</v>
      </c>
      <c r="M6" s="8">
        <f t="shared" si="2"/>
        <v>21</v>
      </c>
      <c r="N6" s="8">
        <f t="shared" si="3"/>
        <v>0</v>
      </c>
      <c r="O6" s="8">
        <f t="shared" si="4"/>
        <v>0</v>
      </c>
      <c r="P6" s="8">
        <f t="shared" si="5"/>
        <v>0</v>
      </c>
      <c r="R6" s="2" t="s">
        <v>33</v>
      </c>
      <c r="S6" s="12">
        <f>COUNTIF(C2:C14,"Feature *")</f>
        <v>5</v>
      </c>
    </row>
    <row r="7" spans="1:19" x14ac:dyDescent="0.25">
      <c r="A7" s="4">
        <v>6</v>
      </c>
      <c r="B7" s="5" t="s">
        <v>25</v>
      </c>
      <c r="C7" s="5" t="s">
        <v>34</v>
      </c>
      <c r="D7" s="13" t="s">
        <v>35</v>
      </c>
      <c r="E7" s="11"/>
      <c r="F7" s="7">
        <v>46314</v>
      </c>
      <c r="G7" s="7">
        <v>46334</v>
      </c>
      <c r="H7" s="4">
        <f t="shared" si="0"/>
        <v>21</v>
      </c>
      <c r="I7" s="4" t="s">
        <v>36</v>
      </c>
      <c r="J7" s="5" t="s">
        <v>37</v>
      </c>
      <c r="K7" s="4" t="str">
        <f t="shared" si="1"/>
        <v>OK</v>
      </c>
      <c r="M7" s="8">
        <f t="shared" si="2"/>
        <v>0</v>
      </c>
      <c r="N7" s="8">
        <f t="shared" si="3"/>
        <v>21</v>
      </c>
      <c r="O7" s="8">
        <f t="shared" si="4"/>
        <v>0</v>
      </c>
      <c r="P7" s="8">
        <f t="shared" si="5"/>
        <v>0</v>
      </c>
      <c r="R7" s="2" t="s">
        <v>38</v>
      </c>
      <c r="S7" s="12">
        <f>COUNTIFS(C2:C14,"Feature *",D2:D14,"AI")</f>
        <v>3</v>
      </c>
    </row>
    <row r="8" spans="1:19" x14ac:dyDescent="0.25">
      <c r="A8" s="4">
        <v>7</v>
      </c>
      <c r="B8" s="5" t="s">
        <v>25</v>
      </c>
      <c r="C8" s="5" t="s">
        <v>39</v>
      </c>
      <c r="D8" s="13" t="s">
        <v>35</v>
      </c>
      <c r="E8" s="11"/>
      <c r="F8" s="7">
        <v>46328</v>
      </c>
      <c r="G8" s="7">
        <v>46348</v>
      </c>
      <c r="H8" s="4">
        <f t="shared" si="0"/>
        <v>21</v>
      </c>
      <c r="I8" s="4" t="s">
        <v>36</v>
      </c>
      <c r="J8" s="5" t="s">
        <v>37</v>
      </c>
      <c r="K8" s="4" t="str">
        <f t="shared" si="1"/>
        <v>OK</v>
      </c>
      <c r="M8" s="8">
        <f t="shared" si="2"/>
        <v>0</v>
      </c>
      <c r="N8" s="8">
        <f t="shared" si="3"/>
        <v>21</v>
      </c>
      <c r="O8" s="8">
        <f t="shared" si="4"/>
        <v>0</v>
      </c>
      <c r="P8" s="8">
        <f t="shared" si="5"/>
        <v>0</v>
      </c>
      <c r="R8" s="2" t="s">
        <v>40</v>
      </c>
      <c r="S8" s="14" t="str">
        <f>IF(COUNTIF(K2:K14,"LATE")=0,"ON TRACK","OVER DEADLINE")</f>
        <v>ON TRACK</v>
      </c>
    </row>
    <row r="9" spans="1:19" x14ac:dyDescent="0.25">
      <c r="A9" s="4">
        <v>8</v>
      </c>
      <c r="B9" s="5" t="s">
        <v>41</v>
      </c>
      <c r="C9" s="5" t="s">
        <v>42</v>
      </c>
      <c r="D9" s="6" t="s">
        <v>18</v>
      </c>
      <c r="E9" s="5"/>
      <c r="F9" s="7">
        <v>46363</v>
      </c>
      <c r="G9" s="7">
        <v>46372</v>
      </c>
      <c r="H9" s="4">
        <f t="shared" si="0"/>
        <v>10</v>
      </c>
      <c r="I9" s="4" t="s">
        <v>43</v>
      </c>
      <c r="J9" s="5"/>
      <c r="K9" s="4" t="str">
        <f t="shared" si="1"/>
        <v>OK</v>
      </c>
      <c r="M9" s="8">
        <f t="shared" si="2"/>
        <v>0</v>
      </c>
      <c r="N9" s="8">
        <f t="shared" si="3"/>
        <v>0</v>
      </c>
      <c r="O9" s="8">
        <f t="shared" si="4"/>
        <v>0</v>
      </c>
      <c r="P9" s="8">
        <f t="shared" si="5"/>
        <v>10</v>
      </c>
    </row>
    <row r="10" spans="1:19" x14ac:dyDescent="0.25">
      <c r="A10" s="4">
        <v>9</v>
      </c>
      <c r="B10" s="5" t="s">
        <v>41</v>
      </c>
      <c r="C10" s="5" t="s">
        <v>44</v>
      </c>
      <c r="D10" s="6" t="s">
        <v>18</v>
      </c>
      <c r="E10" s="5"/>
      <c r="F10" s="7">
        <v>46368</v>
      </c>
      <c r="G10" s="7">
        <v>46376</v>
      </c>
      <c r="H10" s="4">
        <f t="shared" si="0"/>
        <v>9</v>
      </c>
      <c r="I10" s="4" t="s">
        <v>45</v>
      </c>
      <c r="J10" s="5"/>
      <c r="K10" s="4" t="str">
        <f t="shared" si="1"/>
        <v>OK</v>
      </c>
      <c r="M10" s="8">
        <f t="shared" si="2"/>
        <v>0</v>
      </c>
      <c r="N10" s="8">
        <f t="shared" si="3"/>
        <v>0</v>
      </c>
      <c r="O10" s="8">
        <f t="shared" si="4"/>
        <v>0</v>
      </c>
      <c r="P10" s="8">
        <f t="shared" si="5"/>
        <v>9</v>
      </c>
    </row>
    <row r="11" spans="1:19" x14ac:dyDescent="0.25">
      <c r="A11" s="4">
        <v>10</v>
      </c>
      <c r="B11" s="5" t="s">
        <v>46</v>
      </c>
      <c r="C11" s="5" t="s">
        <v>47</v>
      </c>
      <c r="D11" s="15" t="s">
        <v>48</v>
      </c>
      <c r="E11" s="5"/>
      <c r="F11" s="7">
        <v>46321</v>
      </c>
      <c r="G11" s="7">
        <v>46369</v>
      </c>
      <c r="H11" s="4">
        <f t="shared" si="0"/>
        <v>49</v>
      </c>
      <c r="I11" s="4"/>
      <c r="J11" s="5" t="s">
        <v>49</v>
      </c>
      <c r="K11" s="4" t="str">
        <f t="shared" si="1"/>
        <v>OK</v>
      </c>
      <c r="M11" s="8">
        <f t="shared" si="2"/>
        <v>0</v>
      </c>
      <c r="N11" s="8">
        <f t="shared" si="3"/>
        <v>0</v>
      </c>
      <c r="O11" s="8">
        <f t="shared" si="4"/>
        <v>49</v>
      </c>
      <c r="P11" s="8">
        <f t="shared" si="5"/>
        <v>0</v>
      </c>
    </row>
    <row r="12" spans="1:19" x14ac:dyDescent="0.25">
      <c r="A12" s="4">
        <v>11</v>
      </c>
      <c r="B12" s="5" t="s">
        <v>46</v>
      </c>
      <c r="C12" s="5" t="s">
        <v>50</v>
      </c>
      <c r="D12" s="15" t="s">
        <v>48</v>
      </c>
      <c r="E12" s="5"/>
      <c r="F12" s="7">
        <v>46370</v>
      </c>
      <c r="G12" s="7">
        <v>46383</v>
      </c>
      <c r="H12" s="4">
        <f t="shared" si="0"/>
        <v>14</v>
      </c>
      <c r="I12" s="4" t="s">
        <v>51</v>
      </c>
      <c r="J12" s="5"/>
      <c r="K12" s="4" t="str">
        <f t="shared" si="1"/>
        <v>OK</v>
      </c>
      <c r="M12" s="8">
        <f t="shared" si="2"/>
        <v>0</v>
      </c>
      <c r="N12" s="8">
        <f t="shared" si="3"/>
        <v>0</v>
      </c>
      <c r="O12" s="8">
        <f t="shared" si="4"/>
        <v>14</v>
      </c>
      <c r="P12" s="8">
        <f t="shared" si="5"/>
        <v>0</v>
      </c>
    </row>
    <row r="13" spans="1:19" x14ac:dyDescent="0.25">
      <c r="A13" s="4">
        <v>12</v>
      </c>
      <c r="B13" s="5" t="s">
        <v>52</v>
      </c>
      <c r="C13" s="5" t="s">
        <v>53</v>
      </c>
      <c r="D13" s="6" t="s">
        <v>18</v>
      </c>
      <c r="E13" s="5"/>
      <c r="F13" s="7">
        <v>46377</v>
      </c>
      <c r="G13" s="7">
        <v>46385</v>
      </c>
      <c r="H13" s="4">
        <f t="shared" si="0"/>
        <v>9</v>
      </c>
      <c r="I13" s="4" t="s">
        <v>54</v>
      </c>
      <c r="J13" s="5"/>
      <c r="K13" s="4" t="str">
        <f t="shared" si="1"/>
        <v>OK</v>
      </c>
      <c r="M13" s="8">
        <f t="shared" si="2"/>
        <v>0</v>
      </c>
      <c r="N13" s="8">
        <f t="shared" si="3"/>
        <v>0</v>
      </c>
      <c r="O13" s="8">
        <f t="shared" si="4"/>
        <v>0</v>
      </c>
      <c r="P13" s="8">
        <f t="shared" si="5"/>
        <v>9</v>
      </c>
    </row>
    <row r="14" spans="1:19" x14ac:dyDescent="0.25">
      <c r="A14" s="4">
        <v>13</v>
      </c>
      <c r="B14" s="5" t="s">
        <v>52</v>
      </c>
      <c r="C14" s="5" t="s">
        <v>55</v>
      </c>
      <c r="D14" s="6" t="s">
        <v>18</v>
      </c>
      <c r="E14" s="5"/>
      <c r="F14" s="7">
        <v>46386</v>
      </c>
      <c r="G14" s="7">
        <v>46387</v>
      </c>
      <c r="H14" s="4">
        <f t="shared" si="0"/>
        <v>2</v>
      </c>
      <c r="I14" s="4" t="s">
        <v>56</v>
      </c>
      <c r="J14" s="5" t="s">
        <v>57</v>
      </c>
      <c r="K14" s="4" t="str">
        <f t="shared" si="1"/>
        <v>OK</v>
      </c>
      <c r="M14" s="8">
        <f t="shared" si="2"/>
        <v>0</v>
      </c>
      <c r="N14" s="8">
        <f t="shared" si="3"/>
        <v>0</v>
      </c>
      <c r="O14" s="8">
        <f t="shared" si="4"/>
        <v>0</v>
      </c>
      <c r="P14" s="8">
        <f t="shared" si="5"/>
        <v>2</v>
      </c>
    </row>
    <row r="16" spans="1:19" x14ac:dyDescent="0.25">
      <c r="A16" s="16" t="s">
        <v>58</v>
      </c>
    </row>
    <row r="17" spans="1:1" x14ac:dyDescent="0.25">
      <c r="A17" s="17" t="s">
        <v>59</v>
      </c>
    </row>
    <row r="18" spans="1:1" x14ac:dyDescent="0.25">
      <c r="A18" s="17" t="s">
        <v>60</v>
      </c>
    </row>
    <row r="19" spans="1:1" x14ac:dyDescent="0.25">
      <c r="A19" s="17" t="s">
        <v>61</v>
      </c>
    </row>
    <row r="20" spans="1:1" x14ac:dyDescent="0.25">
      <c r="A20" s="17" t="s">
        <v>62</v>
      </c>
    </row>
    <row r="21" spans="1:1" x14ac:dyDescent="0.25">
      <c r="A21" s="17" t="s">
        <v>63</v>
      </c>
    </row>
    <row r="22" spans="1:1" x14ac:dyDescent="0.25">
      <c r="A22" s="17" t="s">
        <v>64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Task List</vt:lpstr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shaban</cp:lastModifiedBy>
  <dcterms:created xsi:type="dcterms:W3CDTF">2026-10-13T10:41:59Z</dcterms:created>
  <dcterms:modified xsi:type="dcterms:W3CDTF">2026-10-13T10:42:18Z</dcterms:modified>
</cp:coreProperties>
</file>